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Data Analytics\Excel\Project\Hospital Emergency Room Dataset\Hospital Emergency Room Solution\"/>
    </mc:Choice>
  </mc:AlternateContent>
  <xr:revisionPtr revIDLastSave="0" documentId="13_ncr:1_{E047D32D-3017-4909-8A14-1775CE3D8E44}" xr6:coauthVersionLast="47" xr6:coauthVersionMax="47" xr10:uidLastSave="{00000000-0000-0000-0000-000000000000}"/>
  <bookViews>
    <workbookView xWindow="-108" yWindow="-108" windowWidth="23256" windowHeight="12456" activeTab="1" xr2:uid="{F71F218C-36C2-464A-94AF-B6784A5F69DC}"/>
  </bookViews>
  <sheets>
    <sheet name="Pivot Report" sheetId="1" r:id="rId1"/>
    <sheet name="Dashboard" sheetId="2" r:id="rId2"/>
    <sheet name="Daily ER No. of Patients"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2032" r:id="rId6"/>
    <pivotCache cacheId="2035" r:id="rId7"/>
    <pivotCache cacheId="2038" r:id="rId8"/>
    <pivotCache cacheId="2041" r:id="rId9"/>
    <pivotCache cacheId="2044" r:id="rId10"/>
    <pivotCache cacheId="2047" r:id="rId11"/>
    <pivotCache cacheId="2050" r:id="rId12"/>
    <pivotCache cacheId="2053" r:id="rId13"/>
    <pivotCache cacheId="2056" r:id="rId14"/>
    <pivotCache cacheId="2059" r:id="rId15"/>
    <pivotCache cacheId="2062" r:id="rId16"/>
    <pivotCache cacheId="2065" r:id="rId17"/>
  </pivotCaches>
  <extLst>
    <ext xmlns:x14="http://schemas.microsoft.com/office/spreadsheetml/2009/9/main" uri="{876F7934-8845-4945-9796-88D515C7AA90}">
      <x14:pivotCaches>
        <pivotCache cacheId="1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1543d9e-f4ed-4be4-9d4e-21ef3d44c529" name="Hospital Emergency Room Data" connection="Query - Hospital Emergency Room Data"/>
          <x15:modelTable id="Calendar_table_5d815492-ed94-4494-903c-cb1abd2a3f18"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0" i="1" l="1"/>
  <c r="D50" i="1"/>
  <c r="C49" i="1"/>
  <c r="D49" i="1"/>
  <c r="B49" i="1"/>
  <c r="B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03CBCC-3723-4E9F-9298-C405EAC95A9B}" name="Query - Calendar_table" description="Connection to the 'Calendar_table' query in the workbook." type="100" refreshedVersion="8" minRefreshableVersion="5">
    <extLst>
      <ext xmlns:x15="http://schemas.microsoft.com/office/spreadsheetml/2010/11/main" uri="{DE250136-89BD-433C-8126-D09CA5730AF9}">
        <x15:connection id="ae0ffa7e-20c6-4dee-8339-898766d00274"/>
      </ext>
    </extLst>
  </connection>
  <connection id="2" xr16:uid="{1D848650-3A32-4EDD-ACD3-AC80FBBB4B0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d660753-9884-49b2-8ae9-3fac481edfd6"/>
      </ext>
    </extLst>
  </connection>
  <connection id="3" xr16:uid="{9F55F31B-BCBF-40F3-B8A7-1F63A5890ED6}"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<sst xmlns="http://schemas.openxmlformats.org/spreadsheetml/2006/main" count="156" uniqueCount="78">
  <si>
    <t>Distinct Count of Patient Id</t>
  </si>
  <si>
    <t>No.patients</t>
  </si>
  <si>
    <t>Average of Patient Waittime</t>
  </si>
  <si>
    <t>Average of Patient Satisfaction Score</t>
  </si>
  <si>
    <t>Grand Total</t>
  </si>
  <si>
    <t>Row Labels</t>
  </si>
  <si>
    <t>Count of Patient Id</t>
  </si>
  <si>
    <r>
      <rPr>
        <sz val="20"/>
        <color theme="1"/>
        <rFont val="Calibri"/>
        <family val="2"/>
        <scheme val="minor"/>
      </rPr>
      <t>Show a daily trend with an area sparkline to spot patterns like busy days or seasonal trends</t>
    </r>
    <r>
      <rPr>
        <sz val="11"/>
        <color theme="1"/>
        <rFont val="Calibri"/>
        <family val="2"/>
        <scheme val="minor"/>
      </rPr>
      <t>.</t>
    </r>
  </si>
  <si>
    <t>Use an area sparkline to track daily changes and highlight days with longer wait times that might need impovments.</t>
  </si>
  <si>
    <t>Daily ER No, of Patients</t>
  </si>
  <si>
    <t>Average wait time daily trend</t>
  </si>
  <si>
    <t>Satisfaction score daily trend</t>
  </si>
  <si>
    <t>Use an area Chart to show trends,spot drops in satisfaction,and link them to busy times on challenge.</t>
  </si>
  <si>
    <t>Admitted</t>
  </si>
  <si>
    <t>Not Admitted</t>
  </si>
  <si>
    <t>Count of Patient Admission Flag</t>
  </si>
  <si>
    <t>Count of Patient Admission Flag2</t>
  </si>
  <si>
    <t>Admission Status</t>
  </si>
  <si>
    <t>No. of Patients</t>
  </si>
  <si>
    <t>% Status</t>
  </si>
  <si>
    <t>0-9</t>
  </si>
  <si>
    <t>10-19</t>
  </si>
  <si>
    <t>20-29</t>
  </si>
  <si>
    <t>30-39</t>
  </si>
  <si>
    <t>40-49</t>
  </si>
  <si>
    <t>50-99</t>
  </si>
  <si>
    <t>60-69</t>
  </si>
  <si>
    <t>70-79</t>
  </si>
  <si>
    <t>Count of Patient Age</t>
  </si>
  <si>
    <t>Age Group by analysis</t>
  </si>
  <si>
    <t>Delay</t>
  </si>
  <si>
    <t>OnTime</t>
  </si>
  <si>
    <t>Count of Patient Attend Status</t>
  </si>
  <si>
    <t>Attend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</si>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</sst>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2" tint="-0.249977111117893"/>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9" fontId="0" fillId="0" borderId="0" xfId="0" applyNumberFormat="1"/>
    <xf numFmtId="0" fontId="0" fillId="4" borderId="0" xfId="0" applyFill="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xf numFmtId="0" fontId="0" fillId="3" borderId="0" xfId="0" applyFill="1" applyAlignment="1">
      <alignment horizontal="center"/>
    </xf>
    <xf numFmtId="0" fontId="2" fillId="3" borderId="0" xfId="0" applyFont="1" applyFill="1" applyAlignment="1">
      <alignment horizontal="center"/>
    </xf>
    <xf numFmtId="0" fontId="4" fillId="3" borderId="0" xfId="0" applyFont="1" applyFill="1" applyAlignment="1">
      <alignment horizontal="center"/>
    </xf>
    <xf numFmtId="0" fontId="3"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15">
    <dxf>
      <numFmt numFmtId="2" formatCode="0.00"/>
    </dxf>
    <dxf>
      <numFmt numFmtId="13" formatCode="0%"/>
    </dxf>
    <dxf>
      <numFmt numFmtId="14"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1" formatCode="0"/>
    </dxf>
    <dxf>
      <font>
        <b/>
        <color theme="1"/>
      </font>
      <border>
        <bottom style="thin">
          <color rgb="FF4F81BD"/>
        </bottom>
        <vertical/>
        <horizontal/>
      </border>
    </dxf>
    <dxf>
      <font>
        <color theme="1"/>
      </font>
      <fill>
        <patternFill>
          <bgColor theme="4" tint="0.79998168889431442"/>
        </patternFill>
      </fill>
      <border diagonalUp="1" diagonalDown="1">
        <left/>
        <right/>
        <top/>
        <bottom/>
        <diagonal style="thin">
          <color rgb="FF4F81BD"/>
        </diagonal>
        <vertical/>
        <horizontal/>
      </border>
    </dxf>
  </dxfs>
  <tableStyles count="1" defaultTableStyle="TableStyleMedium2" defaultPivotStyle="PivotStyleLight16">
    <tableStyle name="my style" pivot="0" table="0" count="10" xr9:uid="{5D6FA862-31B4-4193-8C51-4C7ADD93F3E9}">
      <tableStyleElement type="wholeTable" dxfId="14"/>
      <tableStyleElement type="headerRow" dxfId="13"/>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2"/>
          </a:solidFill>
          <a:ln>
            <a:noFill/>
          </a:ln>
          <a:effectLst/>
        </c:spPr>
        <c:dLbl>
          <c:idx val="0"/>
          <c:layout>
            <c:manualLayout>
              <c:x val="0.57407407407407418"/>
              <c:y val="0.205787037037037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0.59259259259259256"/>
              <c:y val="0.1763888888888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25896762904631E-2"/>
          <c:y val="2.9398148148148149E-2"/>
          <c:w val="0.91661839683832624"/>
          <c:h val="0.93435879629629626"/>
        </c:manualLayout>
      </c:layout>
      <c:barChart>
        <c:barDir val="bar"/>
        <c:grouping val="clustered"/>
        <c:varyColors val="0"/>
        <c:ser>
          <c:idx val="0"/>
          <c:order val="0"/>
          <c:tx>
            <c:strRef>
              <c:f>'Pivot Report'!$C$42</c:f>
              <c:strCache>
                <c:ptCount val="1"/>
                <c:pt idx="0">
                  <c:v>Count of Patient Admission Flag</c:v>
                </c:pt>
              </c:strCache>
            </c:strRef>
          </c:tx>
          <c:spPr>
            <a:solidFill>
              <a:schemeClr val="accent1"/>
            </a:solidFill>
            <a:ln>
              <a:noFill/>
            </a:ln>
            <a:effectLst/>
          </c:spPr>
          <c:invertIfNegative val="0"/>
          <c:dLbls>
            <c:delete val="1"/>
          </c:dLbls>
          <c:cat>
            <c:strRef>
              <c:f>'Pivot Report'!$B$43:$B$45</c:f>
              <c:strCache>
                <c:ptCount val="2"/>
                <c:pt idx="0">
                  <c:v>Admitted</c:v>
                </c:pt>
                <c:pt idx="1">
                  <c:v>Not Admitted</c:v>
                </c:pt>
              </c:strCache>
            </c:strRef>
          </c:cat>
          <c:val>
            <c:numRef>
              <c:f>'Pivot Report'!$C$43:$C$45</c:f>
              <c:numCache>
                <c:formatCode>0</c:formatCode>
                <c:ptCount val="2"/>
                <c:pt idx="0">
                  <c:v>237</c:v>
                </c:pt>
                <c:pt idx="1">
                  <c:v>242</c:v>
                </c:pt>
              </c:numCache>
            </c:numRef>
          </c:val>
          <c:extLst>
            <c:ext xmlns:c16="http://schemas.microsoft.com/office/drawing/2014/chart" uri="{C3380CC4-5D6E-409C-BE32-E72D297353CC}">
              <c16:uniqueId val="{00000010-E346-465E-A1A5-936AB8E404C9}"/>
            </c:ext>
          </c:extLst>
        </c:ser>
        <c:ser>
          <c:idx val="1"/>
          <c:order val="1"/>
          <c:tx>
            <c:strRef>
              <c:f>'Pivot Report'!$D$42</c:f>
              <c:strCache>
                <c:ptCount val="1"/>
                <c:pt idx="0">
                  <c:v>Count of Patient Admission Flag2</c:v>
                </c:pt>
              </c:strCache>
            </c:strRef>
          </c:tx>
          <c:spPr>
            <a:solidFill>
              <a:schemeClr val="accent2"/>
            </a:solidFill>
            <a:ln>
              <a:noFill/>
            </a:ln>
            <a:effectLst/>
          </c:spPr>
          <c:invertIfNegative val="0"/>
          <c:dLbls>
            <c:dLbl>
              <c:idx val="0"/>
              <c:layout>
                <c:manualLayout>
                  <c:x val="0.59259259259259256"/>
                  <c:y val="0.1763888888888888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57407407407407418"/>
                  <c:y val="0.20578703703703705"/>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Report'!$B$43:$B$45</c:f>
              <c:strCache>
                <c:ptCount val="2"/>
                <c:pt idx="0">
                  <c:v>Admitted</c:v>
                </c:pt>
                <c:pt idx="1">
                  <c:v>Not Admitted</c:v>
                </c:pt>
              </c:strCache>
            </c:strRef>
          </c:cat>
          <c:val>
            <c:numRef>
              <c:f>'Pivot Report'!$D$43:$D$45</c:f>
              <c:numCache>
                <c:formatCode>0%</c:formatCode>
                <c:ptCount val="2"/>
                <c:pt idx="0">
                  <c:v>0.49478079331941544</c:v>
                </c:pt>
                <c:pt idx="1">
                  <c:v>0.50521920668058451</c:v>
                </c:pt>
              </c:numCache>
            </c:numRef>
          </c:val>
          <c:extLst>
            <c:ext xmlns:c16="http://schemas.microsoft.com/office/drawing/2014/chart" uri="{C3380CC4-5D6E-409C-BE32-E72D297353CC}">
              <c16:uniqueId val="{00000011-E346-465E-A1A5-936AB8E404C9}"/>
            </c:ext>
          </c:extLst>
        </c:ser>
        <c:dLbls>
          <c:dLblPos val="outEnd"/>
          <c:showLegendKey val="0"/>
          <c:showVal val="1"/>
          <c:showCatName val="0"/>
          <c:showSerName val="0"/>
          <c:showPercent val="0"/>
          <c:showBubbleSize val="0"/>
        </c:dLbls>
        <c:gapWidth val="0"/>
        <c:axId val="154793360"/>
        <c:axId val="154793840"/>
      </c:barChart>
      <c:catAx>
        <c:axId val="154793360"/>
        <c:scaling>
          <c:orientation val="minMax"/>
        </c:scaling>
        <c:delete val="1"/>
        <c:axPos val="l"/>
        <c:numFmt formatCode="General" sourceLinked="1"/>
        <c:majorTickMark val="none"/>
        <c:minorTickMark val="none"/>
        <c:tickLblPos val="nextTo"/>
        <c:crossAx val="154793840"/>
        <c:crosses val="autoZero"/>
        <c:auto val="1"/>
        <c:lblAlgn val="ctr"/>
        <c:lblOffset val="100"/>
        <c:noMultiLvlLbl val="0"/>
      </c:catAx>
      <c:valAx>
        <c:axId val="154793840"/>
        <c:scaling>
          <c:orientation val="minMax"/>
        </c:scaling>
        <c:delete val="1"/>
        <c:axPos val="b"/>
        <c:numFmt formatCode="0" sourceLinked="1"/>
        <c:majorTickMark val="none"/>
        <c:minorTickMark val="none"/>
        <c:tickLblPos val="nextTo"/>
        <c:crossAx val="15479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
          <c:w val="0.96788277604612105"/>
          <c:h val="0.97078552613955982"/>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Report'!$D$5:$D$35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6-52BA-4DC1-B308-F07C118264CD}"/>
            </c:ext>
          </c:extLst>
        </c:ser>
        <c:dLbls>
          <c:showLegendKey val="0"/>
          <c:showVal val="0"/>
          <c:showCatName val="0"/>
          <c:showSerName val="0"/>
          <c:showPercent val="0"/>
          <c:showBubbleSize val="0"/>
        </c:dLbls>
        <c:axId val="154793360"/>
        <c:axId val="154793840"/>
      </c:areaChart>
      <c:catAx>
        <c:axId val="154793360"/>
        <c:scaling>
          <c:orientation val="minMax"/>
        </c:scaling>
        <c:delete val="1"/>
        <c:axPos val="b"/>
        <c:numFmt formatCode="General" sourceLinked="1"/>
        <c:majorTickMark val="out"/>
        <c:minorTickMark val="none"/>
        <c:tickLblPos val="nextTo"/>
        <c:crossAx val="154793840"/>
        <c:crosses val="autoZero"/>
        <c:auto val="1"/>
        <c:lblAlgn val="ctr"/>
        <c:lblOffset val="100"/>
        <c:noMultiLvlLbl val="0"/>
      </c:catAx>
      <c:valAx>
        <c:axId val="154793840"/>
        <c:scaling>
          <c:orientation val="minMax"/>
        </c:scaling>
        <c:delete val="1"/>
        <c:axPos val="l"/>
        <c:numFmt formatCode="General" sourceLinked="1"/>
        <c:majorTickMark val="none"/>
        <c:minorTickMark val="none"/>
        <c:tickLblPos val="nextTo"/>
        <c:crossAx val="154793360"/>
        <c:crosses val="autoZero"/>
        <c:crossBetween val="midCat"/>
      </c:valAx>
      <c:spPr>
        <a:noFill/>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78118844116937E-2"/>
          <c:y val="0.12689983975156516"/>
          <c:w val="0.91664426462263149"/>
          <c:h val="0.87022365107645139"/>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Report'!$G$5:$G$35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6-CB1F-49F9-AE66-C62669FA2952}"/>
            </c:ext>
          </c:extLst>
        </c:ser>
        <c:dLbls>
          <c:showLegendKey val="0"/>
          <c:showVal val="0"/>
          <c:showCatName val="0"/>
          <c:showSerName val="0"/>
          <c:showPercent val="0"/>
          <c:showBubbleSize val="0"/>
        </c:dLbls>
        <c:axId val="22326191"/>
        <c:axId val="22326671"/>
      </c:areaChart>
      <c:catAx>
        <c:axId val="22326191"/>
        <c:scaling>
          <c:orientation val="minMax"/>
        </c:scaling>
        <c:delete val="1"/>
        <c:axPos val="b"/>
        <c:numFmt formatCode="General" sourceLinked="1"/>
        <c:majorTickMark val="out"/>
        <c:minorTickMark val="none"/>
        <c:tickLblPos val="nextTo"/>
        <c:crossAx val="22326671"/>
        <c:crosses val="autoZero"/>
        <c:auto val="1"/>
        <c:lblAlgn val="ctr"/>
        <c:lblOffset val="100"/>
        <c:noMultiLvlLbl val="0"/>
      </c:catAx>
      <c:valAx>
        <c:axId val="22326671"/>
        <c:scaling>
          <c:orientation val="minMax"/>
        </c:scaling>
        <c:delete val="1"/>
        <c:axPos val="l"/>
        <c:numFmt formatCode="0.00" sourceLinked="1"/>
        <c:majorTickMark val="none"/>
        <c:minorTickMark val="none"/>
        <c:tickLblPos val="nextTo"/>
        <c:crossAx val="22326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90507567528697E-2"/>
          <c:y val="9.3165882776336875E-2"/>
          <c:w val="0.93283141671389669"/>
          <c:h val="0.87125997443566106"/>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Report'!$J$5:$J$35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6-6367-441A-9FF6-4557DE7972C1}"/>
            </c:ext>
          </c:extLst>
        </c:ser>
        <c:dLbls>
          <c:showLegendKey val="0"/>
          <c:showVal val="0"/>
          <c:showCatName val="0"/>
          <c:showSerName val="0"/>
          <c:showPercent val="0"/>
          <c:showBubbleSize val="0"/>
        </c:dLbls>
        <c:axId val="1465326207"/>
        <c:axId val="1465321887"/>
      </c:areaChart>
      <c:catAx>
        <c:axId val="1465326207"/>
        <c:scaling>
          <c:orientation val="minMax"/>
        </c:scaling>
        <c:delete val="1"/>
        <c:axPos val="b"/>
        <c:numFmt formatCode="General" sourceLinked="1"/>
        <c:majorTickMark val="out"/>
        <c:minorTickMark val="none"/>
        <c:tickLblPos val="nextTo"/>
        <c:crossAx val="1465321887"/>
        <c:crosses val="autoZero"/>
        <c:auto val="1"/>
        <c:lblAlgn val="ctr"/>
        <c:lblOffset val="100"/>
        <c:noMultiLvlLbl val="0"/>
      </c:catAx>
      <c:valAx>
        <c:axId val="1465321887"/>
        <c:scaling>
          <c:orientation val="minMax"/>
        </c:scaling>
        <c:delete val="1"/>
        <c:axPos val="l"/>
        <c:numFmt formatCode="0.00" sourceLinked="1"/>
        <c:majorTickMark val="none"/>
        <c:minorTickMark val="none"/>
        <c:tickLblPos val="nextTo"/>
        <c:crossAx val="1465326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12457044379601E-2"/>
          <c:y val="8.7635060924768401E-2"/>
          <c:w val="0.94652013745798524"/>
          <c:h val="0.50050545418997949"/>
        </c:manualLayout>
      </c:layout>
      <c:barChart>
        <c:barDir val="col"/>
        <c:grouping val="clustered"/>
        <c:varyColors val="0"/>
        <c:ser>
          <c:idx val="0"/>
          <c:order val="0"/>
          <c:tx>
            <c:strRef>
              <c:f>'Pivot Report'!$I$43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Report'!$H$44:$H$52</c:f>
              <c:strCache>
                <c:ptCount val="8"/>
                <c:pt idx="0">
                  <c:v>0-9</c:v>
                </c:pt>
                <c:pt idx="1">
                  <c:v>10-19</c:v>
                </c:pt>
                <c:pt idx="2">
                  <c:v>20-29</c:v>
                </c:pt>
                <c:pt idx="3">
                  <c:v>30-39</c:v>
                </c:pt>
                <c:pt idx="4">
                  <c:v>40-49</c:v>
                </c:pt>
                <c:pt idx="5">
                  <c:v>50-99</c:v>
                </c:pt>
                <c:pt idx="6">
                  <c:v>60-69</c:v>
                </c:pt>
                <c:pt idx="7">
                  <c:v>70-79</c:v>
                </c:pt>
              </c:strCache>
            </c:strRef>
          </c:cat>
          <c:val>
            <c:numRef>
              <c:f>'Pivot Report'!$I$44:$I$52</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6-F758-41C6-8FAC-F311DFF3353B}"/>
            </c:ext>
          </c:extLst>
        </c:ser>
        <c:dLbls>
          <c:dLblPos val="outEnd"/>
          <c:showLegendKey val="0"/>
          <c:showVal val="1"/>
          <c:showCatName val="0"/>
          <c:showSerName val="0"/>
          <c:showPercent val="0"/>
          <c:showBubbleSize val="0"/>
        </c:dLbls>
        <c:gapWidth val="219"/>
        <c:overlap val="-27"/>
        <c:axId val="91944639"/>
        <c:axId val="91952799"/>
      </c:barChart>
      <c:catAx>
        <c:axId val="9194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52799"/>
        <c:crosses val="autoZero"/>
        <c:auto val="1"/>
        <c:lblAlgn val="ctr"/>
        <c:lblOffset val="100"/>
        <c:noMultiLvlLbl val="0"/>
      </c:catAx>
      <c:valAx>
        <c:axId val="91952799"/>
        <c:scaling>
          <c:orientation val="minMax"/>
        </c:scaling>
        <c:delete val="1"/>
        <c:axPos val="l"/>
        <c:numFmt formatCode="0" sourceLinked="1"/>
        <c:majorTickMark val="none"/>
        <c:minorTickMark val="none"/>
        <c:tickLblPos val="nextTo"/>
        <c:crossAx val="9194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1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281544550778365"/>
          <c:y val="0.18361596615341935"/>
          <c:w val="0.64891404705545974"/>
          <c:h val="0.81638412321163956"/>
        </c:manualLayout>
      </c:layout>
      <c:pieChart>
        <c:varyColors val="1"/>
        <c:ser>
          <c:idx val="0"/>
          <c:order val="0"/>
          <c:tx>
            <c:strRef>
              <c:f>'Pivot Report'!$I$56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Report'!$H$57:$H$59</c:f>
              <c:strCache>
                <c:ptCount val="2"/>
                <c:pt idx="0">
                  <c:v>Delay</c:v>
                </c:pt>
                <c:pt idx="1">
                  <c:v>OnTime</c:v>
                </c:pt>
              </c:strCache>
            </c:strRef>
          </c:cat>
          <c:val>
            <c:numRef>
              <c:f>'Pivot Report'!$I$57:$I$59</c:f>
              <c:numCache>
                <c:formatCode>0</c:formatCode>
                <c:ptCount val="2"/>
                <c:pt idx="0">
                  <c:v>273</c:v>
                </c:pt>
                <c:pt idx="1">
                  <c:v>206</c:v>
                </c:pt>
              </c:numCache>
            </c:numRef>
          </c:val>
          <c:extLst>
            <c:ext xmlns:c16="http://schemas.microsoft.com/office/drawing/2014/chart" uri="{C3380CC4-5D6E-409C-BE32-E72D297353CC}">
              <c16:uniqueId val="{0000000A-9535-490B-9D78-46A3EDB167E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8928777061944209E-2"/>
          <c:y val="3.1464490929883982E-3"/>
          <c:w val="0.90107152935315693"/>
          <c:h val="0.181907262421939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23"/>
  </c:pivotSource>
  <c:chart>
    <c:autoTitleDeleted val="1"/>
    <c:pivotFmts>
      <c:pivotFmt>
        <c:idx val="0"/>
        <c:spPr>
          <a:solidFill>
            <a:schemeClr val="accent1"/>
          </a:solidFill>
          <a:ln w="0">
            <a:solidFill>
              <a:schemeClr val="dk1"/>
            </a:solid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0">
            <a:solidFill>
              <a:schemeClr val="dk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0">
            <a:solidFill>
              <a:schemeClr val="dk1"/>
            </a:solidFill>
          </a:ln>
          <a:effectLst>
            <a:outerShdw blurRad="317500" algn="ctr" rotWithShape="0">
              <a:prstClr val="black">
                <a:alpha val="25000"/>
              </a:prstClr>
            </a:outerShdw>
          </a:effectLst>
        </c:spPr>
      </c:pivotFmt>
      <c:pivotFmt>
        <c:idx val="3"/>
        <c:spPr>
          <a:solidFill>
            <a:schemeClr val="accent1"/>
          </a:solidFill>
          <a:ln w="0">
            <a:solidFill>
              <a:schemeClr val="dk1"/>
            </a:solidFill>
          </a:ln>
          <a:effectLst>
            <a:outerShdw blurRad="317500" algn="ctr" rotWithShape="0">
              <a:prstClr val="black">
                <a:alpha val="25000"/>
              </a:prstClr>
            </a:outerShdw>
          </a:effectLst>
        </c:spPr>
      </c:pivotFmt>
      <c:pivotFmt>
        <c:idx val="4"/>
        <c:spPr>
          <a:solidFill>
            <a:schemeClr val="accent1"/>
          </a:solidFill>
          <a:ln w="0">
            <a:solidFill>
              <a:schemeClr val="dk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0">
            <a:solidFill>
              <a:schemeClr val="dk1"/>
            </a:solidFill>
          </a:ln>
          <a:effectLst>
            <a:outerShdw blurRad="317500" algn="ctr" rotWithShape="0">
              <a:prstClr val="black">
                <a:alpha val="25000"/>
              </a:prstClr>
            </a:outerShdw>
          </a:effectLst>
        </c:spPr>
      </c:pivotFmt>
      <c:pivotFmt>
        <c:idx val="6"/>
        <c:spPr>
          <a:solidFill>
            <a:schemeClr val="accent1"/>
          </a:solidFill>
          <a:ln w="0">
            <a:solidFill>
              <a:schemeClr val="dk1"/>
            </a:solidFill>
          </a:ln>
          <a:effectLst>
            <a:outerShdw blurRad="317500" algn="ctr" rotWithShape="0">
              <a:prstClr val="black">
                <a:alpha val="25000"/>
              </a:prstClr>
            </a:outerShdw>
          </a:effectLst>
        </c:spPr>
      </c:pivotFmt>
    </c:pivotFmts>
    <c:plotArea>
      <c:layout>
        <c:manualLayout>
          <c:layoutTarget val="inner"/>
          <c:xMode val="edge"/>
          <c:yMode val="edge"/>
          <c:x val="0.19589318817510695"/>
          <c:y val="0.21042676186297887"/>
          <c:w val="0.66897168571500731"/>
          <c:h val="0.74040451456998524"/>
        </c:manualLayout>
      </c:layout>
      <c:doughnutChart>
        <c:varyColors val="1"/>
        <c:ser>
          <c:idx val="0"/>
          <c:order val="0"/>
          <c:tx>
            <c:strRef>
              <c:f>'Pivot Report'!$I$62</c:f>
              <c:strCache>
                <c:ptCount val="1"/>
                <c:pt idx="0">
                  <c:v>Total</c:v>
                </c:pt>
              </c:strCache>
            </c:strRef>
          </c:tx>
          <c:spPr>
            <a:ln w="0">
              <a:solidFill>
                <a:schemeClr val="dk1"/>
              </a:solidFill>
            </a:ln>
          </c:spPr>
          <c:dPt>
            <c:idx val="0"/>
            <c:bubble3D val="0"/>
            <c:spPr>
              <a:solidFill>
                <a:schemeClr val="accent1"/>
              </a:solidFill>
              <a:ln w="0">
                <a:solidFill>
                  <a:schemeClr val="dk1"/>
                </a:solidFill>
              </a:ln>
              <a:effectLst>
                <a:outerShdw blurRad="317500" algn="ctr" rotWithShape="0">
                  <a:prstClr val="black">
                    <a:alpha val="25000"/>
                  </a:prstClr>
                </a:outerShdw>
              </a:effectLst>
            </c:spPr>
          </c:dPt>
          <c:dPt>
            <c:idx val="1"/>
            <c:bubble3D val="0"/>
            <c:spPr>
              <a:solidFill>
                <a:schemeClr val="accent2"/>
              </a:solidFill>
              <a:ln w="0">
                <a:solidFill>
                  <a:schemeClr val="dk1"/>
                </a:solid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Report'!$H$63:$H$65</c:f>
              <c:strCache>
                <c:ptCount val="2"/>
                <c:pt idx="0">
                  <c:v>Female</c:v>
                </c:pt>
                <c:pt idx="1">
                  <c:v>Male</c:v>
                </c:pt>
              </c:strCache>
            </c:strRef>
          </c:cat>
          <c:val>
            <c:numRef>
              <c:f>'Pivot Report'!$I$63:$I$65</c:f>
              <c:numCache>
                <c:formatCode>0</c:formatCode>
                <c:ptCount val="2"/>
                <c:pt idx="0">
                  <c:v>235</c:v>
                </c:pt>
                <c:pt idx="1">
                  <c:v>244</c:v>
                </c:pt>
              </c:numCache>
            </c:numRef>
          </c:val>
          <c:extLst>
            <c:ext xmlns:c16="http://schemas.microsoft.com/office/drawing/2014/chart" uri="{C3380CC4-5D6E-409C-BE32-E72D297353CC}">
              <c16:uniqueId val="{0000000A-1541-4E9F-BB7B-A9AD6BA7F27F}"/>
            </c:ext>
          </c:extLst>
        </c:ser>
        <c:dLbls>
          <c:showLegendKey val="0"/>
          <c:showVal val="0"/>
          <c:showCatName val="0"/>
          <c:showSerName val="0"/>
          <c:showPercent val="1"/>
          <c:showBubbleSize val="0"/>
          <c:showLeaderLines val="1"/>
        </c:dLbls>
        <c:firstSliceAng val="0"/>
        <c:holeSize val="47"/>
      </c:doughnutChart>
      <c:spPr>
        <a:noFill/>
        <a:ln>
          <a:noFill/>
        </a:ln>
        <a:effectLst/>
      </c:spPr>
    </c:plotArea>
    <c:legend>
      <c:legendPos val="r"/>
      <c:layout>
        <c:manualLayout>
          <c:xMode val="edge"/>
          <c:yMode val="edge"/>
          <c:x val="0.12320820331313104"/>
          <c:y val="2.0002101324316273E-2"/>
          <c:w val="0.87679155054664393"/>
          <c:h val="0.15122816443095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8674270600876"/>
          <c:y val="3.9758794772721741E-2"/>
          <c:w val="0.54286980892485481"/>
          <c:h val="0.70173539813892793"/>
        </c:manualLayout>
      </c:layout>
      <c:barChart>
        <c:barDir val="bar"/>
        <c:grouping val="clustered"/>
        <c:varyColors val="0"/>
        <c:ser>
          <c:idx val="0"/>
          <c:order val="0"/>
          <c:tx>
            <c:strRef>
              <c:f>'Pivot Report'!$I$68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Report'!$H$69:$H$77</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Report'!$I$69:$I$77</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6-D403-44F0-BE18-FFA002DF3959}"/>
            </c:ext>
          </c:extLst>
        </c:ser>
        <c:dLbls>
          <c:showLegendKey val="0"/>
          <c:showVal val="0"/>
          <c:showCatName val="0"/>
          <c:showSerName val="0"/>
          <c:showPercent val="0"/>
          <c:showBubbleSize val="0"/>
        </c:dLbls>
        <c:gapWidth val="26"/>
        <c:axId val="62391808"/>
        <c:axId val="62390368"/>
      </c:barChart>
      <c:catAx>
        <c:axId val="6239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0368"/>
        <c:crosses val="autoZero"/>
        <c:auto val="1"/>
        <c:lblAlgn val="ctr"/>
        <c:lblOffset val="100"/>
        <c:noMultiLvlLbl val="0"/>
      </c:catAx>
      <c:valAx>
        <c:axId val="623903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31349660710754E-2"/>
          <c:y val="0.10739739918873775"/>
          <c:w val="0.85681612225764847"/>
          <c:h val="0.66366686230608152"/>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Report'!$D$5:$D$35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5-89E5-4E55-8A43-38DDBC4B0F5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4793360"/>
        <c:axId val="154793840"/>
      </c:areaChart>
      <c:catAx>
        <c:axId val="154793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4793840"/>
        <c:crosses val="autoZero"/>
        <c:auto val="1"/>
        <c:lblAlgn val="ctr"/>
        <c:lblOffset val="100"/>
        <c:noMultiLvlLbl val="0"/>
      </c:catAx>
      <c:valAx>
        <c:axId val="154793840"/>
        <c:scaling>
          <c:orientation val="minMax"/>
        </c:scaling>
        <c:delete val="1"/>
        <c:axPos val="l"/>
        <c:numFmt formatCode="General" sourceLinked="1"/>
        <c:majorTickMark val="out"/>
        <c:minorTickMark val="none"/>
        <c:tickLblPos val="nextTo"/>
        <c:crossAx val="154793360"/>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78151649728907E-2"/>
          <c:y val="7.407407407407407E-2"/>
          <c:w val="0.91664426462263149"/>
          <c:h val="0.77870662000583257"/>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Report'!$G$5:$G$35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5-3C19-4897-A4DB-D09D7720AB2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326191"/>
        <c:axId val="22326671"/>
      </c:areaChart>
      <c:catAx>
        <c:axId val="223261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326671"/>
        <c:crosses val="autoZero"/>
        <c:auto val="1"/>
        <c:lblAlgn val="ctr"/>
        <c:lblOffset val="100"/>
        <c:noMultiLvlLbl val="0"/>
      </c:catAx>
      <c:valAx>
        <c:axId val="22326671"/>
        <c:scaling>
          <c:orientation val="minMax"/>
        </c:scaling>
        <c:delete val="1"/>
        <c:axPos val="l"/>
        <c:numFmt formatCode="0.00" sourceLinked="1"/>
        <c:majorTickMark val="out"/>
        <c:minorTickMark val="none"/>
        <c:tickLblPos val="nextTo"/>
        <c:crossAx val="22326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Report'!$J$5:$J$35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5-DB22-445E-9C66-EF79358DAC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65326207"/>
        <c:axId val="1465321887"/>
      </c:areaChart>
      <c:catAx>
        <c:axId val="14653262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65321887"/>
        <c:crosses val="autoZero"/>
        <c:auto val="1"/>
        <c:lblAlgn val="ctr"/>
        <c:lblOffset val="100"/>
        <c:noMultiLvlLbl val="0"/>
      </c:catAx>
      <c:valAx>
        <c:axId val="1465321887"/>
        <c:scaling>
          <c:orientation val="minMax"/>
        </c:scaling>
        <c:delete val="1"/>
        <c:axPos val="l"/>
        <c:numFmt formatCode="0.00" sourceLinked="1"/>
        <c:majorTickMark val="out"/>
        <c:minorTickMark val="none"/>
        <c:tickLblPos val="nextTo"/>
        <c:crossAx val="1465326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3</xdr:col>
      <xdr:colOff>495300</xdr:colOff>
      <xdr:row>47</xdr:row>
      <xdr:rowOff>129540</xdr:rowOff>
    </xdr:from>
    <xdr:to>
      <xdr:col>5</xdr:col>
      <xdr:colOff>53340</xdr:colOff>
      <xdr:row>50</xdr:row>
      <xdr:rowOff>12900</xdr:rowOff>
    </xdr:to>
    <xdr:graphicFrame macro="">
      <xdr:nvGraphicFramePr>
        <xdr:cNvPr id="8" name="Chart 7">
          <a:extLst>
            <a:ext uri="{FF2B5EF4-FFF2-40B4-BE49-F238E27FC236}">
              <a16:creationId xmlns:a16="http://schemas.microsoft.com/office/drawing/2014/main" id="{659A42E3-4862-BE27-F38E-73BB2595B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57805</xdr:colOff>
      <xdr:row>0</xdr:row>
      <xdr:rowOff>52218</xdr:rowOff>
    </xdr:from>
    <xdr:to>
      <xdr:col>5</xdr:col>
      <xdr:colOff>375634</xdr:colOff>
      <xdr:row>3</xdr:row>
      <xdr:rowOff>20687</xdr:rowOff>
    </xdr:to>
    <xdr:sp macro="" textlink="">
      <xdr:nvSpPr>
        <xdr:cNvPr id="3" name="Rectangle: Rounded Corners 2">
          <a:extLst>
            <a:ext uri="{FF2B5EF4-FFF2-40B4-BE49-F238E27FC236}">
              <a16:creationId xmlns:a16="http://schemas.microsoft.com/office/drawing/2014/main" id="{1F3018F4-4F8C-B5B2-89FF-6B94C5877224}"/>
            </a:ext>
          </a:extLst>
        </xdr:cNvPr>
        <xdr:cNvSpPr/>
      </xdr:nvSpPr>
      <xdr:spPr>
        <a:xfrm>
          <a:off x="57805" y="52218"/>
          <a:ext cx="3376561" cy="515821"/>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424744</xdr:colOff>
      <xdr:row>0</xdr:row>
      <xdr:rowOff>46853</xdr:rowOff>
    </xdr:from>
    <xdr:to>
      <xdr:col>8</xdr:col>
      <xdr:colOff>1102</xdr:colOff>
      <xdr:row>3</xdr:row>
      <xdr:rowOff>25833</xdr:rowOff>
    </xdr:to>
    <xdr:sp macro="" textlink="">
      <xdr:nvSpPr>
        <xdr:cNvPr id="4" name="Rectangle: Rounded Corners 3">
          <a:extLst>
            <a:ext uri="{FF2B5EF4-FFF2-40B4-BE49-F238E27FC236}">
              <a16:creationId xmlns:a16="http://schemas.microsoft.com/office/drawing/2014/main" id="{4906AB78-2A4A-4130-913B-A3DCB9BEF5F9}"/>
            </a:ext>
          </a:extLst>
        </xdr:cNvPr>
        <xdr:cNvSpPr/>
      </xdr:nvSpPr>
      <xdr:spPr>
        <a:xfrm>
          <a:off x="3477963" y="46853"/>
          <a:ext cx="1408290" cy="526994"/>
        </a:xfrm>
        <a:prstGeom prst="roundRect">
          <a:avLst>
            <a:gd name="adj" fmla="val 11569"/>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178444</xdr:colOff>
      <xdr:row>0</xdr:row>
      <xdr:rowOff>44824</xdr:rowOff>
    </xdr:from>
    <xdr:to>
      <xdr:col>12</xdr:col>
      <xdr:colOff>281836</xdr:colOff>
      <xdr:row>6</xdr:row>
      <xdr:rowOff>151952</xdr:rowOff>
    </xdr:to>
    <xdr:sp macro="" textlink="">
      <xdr:nvSpPr>
        <xdr:cNvPr id="5" name="Rectangle: Rounded Corners 4">
          <a:extLst>
            <a:ext uri="{FF2B5EF4-FFF2-40B4-BE49-F238E27FC236}">
              <a16:creationId xmlns:a16="http://schemas.microsoft.com/office/drawing/2014/main" id="{145AA688-44E9-6930-0C05-822584B29A54}"/>
            </a:ext>
          </a:extLst>
        </xdr:cNvPr>
        <xdr:cNvSpPr/>
      </xdr:nvSpPr>
      <xdr:spPr>
        <a:xfrm>
          <a:off x="6297535" y="44824"/>
          <a:ext cx="1327210" cy="1215492"/>
        </a:xfrm>
        <a:prstGeom prst="roundRect">
          <a:avLst>
            <a:gd name="adj" fmla="val 4231"/>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50212</xdr:colOff>
      <xdr:row>0</xdr:row>
      <xdr:rowOff>37563</xdr:rowOff>
    </xdr:from>
    <xdr:to>
      <xdr:col>10</xdr:col>
      <xdr:colOff>135036</xdr:colOff>
      <xdr:row>6</xdr:row>
      <xdr:rowOff>166352</xdr:rowOff>
    </xdr:to>
    <xdr:sp macro="" textlink="">
      <xdr:nvSpPr>
        <xdr:cNvPr id="6" name="Rectangle: Rounded Corners 5">
          <a:extLst>
            <a:ext uri="{FF2B5EF4-FFF2-40B4-BE49-F238E27FC236}">
              <a16:creationId xmlns:a16="http://schemas.microsoft.com/office/drawing/2014/main" id="{E63B2F7F-7A60-8368-F2F7-782EC27C52DF}"/>
            </a:ext>
          </a:extLst>
        </xdr:cNvPr>
        <xdr:cNvSpPr/>
      </xdr:nvSpPr>
      <xdr:spPr>
        <a:xfrm>
          <a:off x="4935363" y="37563"/>
          <a:ext cx="1306111" cy="1224816"/>
        </a:xfrm>
        <a:prstGeom prst="roundRect">
          <a:avLst>
            <a:gd name="adj" fmla="val 4742"/>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68317</xdr:colOff>
      <xdr:row>3</xdr:row>
      <xdr:rowOff>89337</xdr:rowOff>
    </xdr:from>
    <xdr:to>
      <xdr:col>1</xdr:col>
      <xdr:colOff>357352</xdr:colOff>
      <xdr:row>15</xdr:row>
      <xdr:rowOff>151357</xdr:rowOff>
    </xdr:to>
    <xdr:sp macro="" textlink="">
      <xdr:nvSpPr>
        <xdr:cNvPr id="7" name="Rectangle: Rounded Corners 6">
          <a:extLst>
            <a:ext uri="{FF2B5EF4-FFF2-40B4-BE49-F238E27FC236}">
              <a16:creationId xmlns:a16="http://schemas.microsoft.com/office/drawing/2014/main" id="{CF92E762-6B3D-3031-F186-DE862E4366D4}"/>
            </a:ext>
          </a:extLst>
        </xdr:cNvPr>
        <xdr:cNvSpPr/>
      </xdr:nvSpPr>
      <xdr:spPr>
        <a:xfrm>
          <a:off x="68317" y="637351"/>
          <a:ext cx="899679" cy="2254074"/>
        </a:xfrm>
        <a:prstGeom prst="roundRect">
          <a:avLst>
            <a:gd name="adj" fmla="val 6141"/>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414088</xdr:colOff>
      <xdr:row>3</xdr:row>
      <xdr:rowOff>89929</xdr:rowOff>
    </xdr:from>
    <xdr:to>
      <xdr:col>3</xdr:col>
      <xdr:colOff>413050</xdr:colOff>
      <xdr:row>7</xdr:row>
      <xdr:rowOff>80639</xdr:rowOff>
    </xdr:to>
    <xdr:sp macro="" textlink="">
      <xdr:nvSpPr>
        <xdr:cNvPr id="8" name="Rectangle: Rounded Corners 7">
          <a:extLst>
            <a:ext uri="{FF2B5EF4-FFF2-40B4-BE49-F238E27FC236}">
              <a16:creationId xmlns:a16="http://schemas.microsoft.com/office/drawing/2014/main" id="{DE39CDAA-E813-3AD6-B44C-50156D9EFE07}"/>
            </a:ext>
          </a:extLst>
        </xdr:cNvPr>
        <xdr:cNvSpPr/>
      </xdr:nvSpPr>
      <xdr:spPr>
        <a:xfrm>
          <a:off x="1024732" y="637943"/>
          <a:ext cx="1220250" cy="721395"/>
        </a:xfrm>
        <a:prstGeom prst="roundRect">
          <a:avLst>
            <a:gd name="adj" fmla="val 7894"/>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446433</xdr:colOff>
      <xdr:row>3</xdr:row>
      <xdr:rowOff>95149</xdr:rowOff>
    </xdr:from>
    <xdr:to>
      <xdr:col>5</xdr:col>
      <xdr:colOff>531254</xdr:colOff>
      <xdr:row>7</xdr:row>
      <xdr:rowOff>85859</xdr:rowOff>
    </xdr:to>
    <xdr:sp macro="" textlink="">
      <xdr:nvSpPr>
        <xdr:cNvPr id="9" name="Rectangle: Rounded Corners 8">
          <a:extLst>
            <a:ext uri="{FF2B5EF4-FFF2-40B4-BE49-F238E27FC236}">
              <a16:creationId xmlns:a16="http://schemas.microsoft.com/office/drawing/2014/main" id="{DCB05DAD-F30D-CB4B-3C92-9F28E82B6FD0}"/>
            </a:ext>
          </a:extLst>
        </xdr:cNvPr>
        <xdr:cNvSpPr/>
      </xdr:nvSpPr>
      <xdr:spPr>
        <a:xfrm>
          <a:off x="2278365" y="643163"/>
          <a:ext cx="1306108" cy="721395"/>
        </a:xfrm>
        <a:prstGeom prst="roundRect">
          <a:avLst>
            <a:gd name="adj" fmla="val 7894"/>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568818</xdr:colOff>
      <xdr:row>3</xdr:row>
      <xdr:rowOff>95149</xdr:rowOff>
    </xdr:from>
    <xdr:to>
      <xdr:col>7</xdr:col>
      <xdr:colOff>601015</xdr:colOff>
      <xdr:row>7</xdr:row>
      <xdr:rowOff>85859</xdr:rowOff>
    </xdr:to>
    <xdr:sp macro="" textlink="">
      <xdr:nvSpPr>
        <xdr:cNvPr id="10" name="Rectangle: Rounded Corners 9">
          <a:extLst>
            <a:ext uri="{FF2B5EF4-FFF2-40B4-BE49-F238E27FC236}">
              <a16:creationId xmlns:a16="http://schemas.microsoft.com/office/drawing/2014/main" id="{F2B3AB46-DFC2-96F1-8311-B96C4EB8E444}"/>
            </a:ext>
          </a:extLst>
        </xdr:cNvPr>
        <xdr:cNvSpPr/>
      </xdr:nvSpPr>
      <xdr:spPr>
        <a:xfrm>
          <a:off x="3627550" y="642501"/>
          <a:ext cx="1255690" cy="720513"/>
        </a:xfrm>
        <a:prstGeom prst="roundRect">
          <a:avLst>
            <a:gd name="adj" fmla="val 9384"/>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417344</xdr:colOff>
      <xdr:row>7</xdr:row>
      <xdr:rowOff>134156</xdr:rowOff>
    </xdr:from>
    <xdr:to>
      <xdr:col>7</xdr:col>
      <xdr:colOff>601014</xdr:colOff>
      <xdr:row>10</xdr:row>
      <xdr:rowOff>122646</xdr:rowOff>
    </xdr:to>
    <xdr:sp macro="" textlink="">
      <xdr:nvSpPr>
        <xdr:cNvPr id="11" name="Rectangle: Rounded Corners 10">
          <a:extLst>
            <a:ext uri="{FF2B5EF4-FFF2-40B4-BE49-F238E27FC236}">
              <a16:creationId xmlns:a16="http://schemas.microsoft.com/office/drawing/2014/main" id="{C0F8C655-5207-5A42-D92D-C9C2D4E38753}"/>
            </a:ext>
          </a:extLst>
        </xdr:cNvPr>
        <xdr:cNvSpPr/>
      </xdr:nvSpPr>
      <xdr:spPr>
        <a:xfrm>
          <a:off x="1027988" y="1412855"/>
          <a:ext cx="3847533" cy="536503"/>
        </a:xfrm>
        <a:prstGeom prst="roundRect">
          <a:avLst>
            <a:gd name="adj" fmla="val 11898"/>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422562</xdr:colOff>
      <xdr:row>10</xdr:row>
      <xdr:rowOff>177453</xdr:rowOff>
    </xdr:from>
    <xdr:to>
      <xdr:col>7</xdr:col>
      <xdr:colOff>606233</xdr:colOff>
      <xdr:row>15</xdr:row>
      <xdr:rowOff>140918</xdr:rowOff>
    </xdr:to>
    <xdr:sp macro="" textlink="">
      <xdr:nvSpPr>
        <xdr:cNvPr id="12" name="Rectangle: Rounded Corners 11">
          <a:extLst>
            <a:ext uri="{FF2B5EF4-FFF2-40B4-BE49-F238E27FC236}">
              <a16:creationId xmlns:a16="http://schemas.microsoft.com/office/drawing/2014/main" id="{CA5E859C-CE84-CCD5-9046-21D4D658CA6B}"/>
            </a:ext>
          </a:extLst>
        </xdr:cNvPr>
        <xdr:cNvSpPr/>
      </xdr:nvSpPr>
      <xdr:spPr>
        <a:xfrm>
          <a:off x="1033206" y="2004165"/>
          <a:ext cx="3847534" cy="876821"/>
        </a:xfrm>
        <a:prstGeom prst="roundRect">
          <a:avLst>
            <a:gd name="adj" fmla="val 3143"/>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8</xdr:col>
      <xdr:colOff>45625</xdr:colOff>
      <xdr:row>7</xdr:row>
      <xdr:rowOff>46972</xdr:rowOff>
    </xdr:from>
    <xdr:to>
      <xdr:col>12</xdr:col>
      <xdr:colOff>297494</xdr:colOff>
      <xdr:row>15</xdr:row>
      <xdr:rowOff>146137</xdr:rowOff>
    </xdr:to>
    <xdr:sp macro="" textlink="">
      <xdr:nvSpPr>
        <xdr:cNvPr id="15" name="Rectangle: Rounded Corners 14">
          <a:extLst>
            <a:ext uri="{FF2B5EF4-FFF2-40B4-BE49-F238E27FC236}">
              <a16:creationId xmlns:a16="http://schemas.microsoft.com/office/drawing/2014/main" id="{101E05DC-0A91-D2A3-3571-7DAD1EE1984A}"/>
            </a:ext>
          </a:extLst>
        </xdr:cNvPr>
        <xdr:cNvSpPr/>
      </xdr:nvSpPr>
      <xdr:spPr>
        <a:xfrm>
          <a:off x="4930776" y="1325671"/>
          <a:ext cx="2694444" cy="1560534"/>
        </a:xfrm>
        <a:prstGeom prst="roundRect">
          <a:avLst>
            <a:gd name="adj" fmla="val 3421"/>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292273</xdr:colOff>
      <xdr:row>1</xdr:row>
      <xdr:rowOff>31315</xdr:rowOff>
    </xdr:from>
    <xdr:to>
      <xdr:col>5</xdr:col>
      <xdr:colOff>219205</xdr:colOff>
      <xdr:row>2</xdr:row>
      <xdr:rowOff>78288</xdr:rowOff>
    </xdr:to>
    <xdr:sp macro="" textlink="">
      <xdr:nvSpPr>
        <xdr:cNvPr id="2" name="TextBox 1">
          <a:extLst>
            <a:ext uri="{FF2B5EF4-FFF2-40B4-BE49-F238E27FC236}">
              <a16:creationId xmlns:a16="http://schemas.microsoft.com/office/drawing/2014/main" id="{62D6FFE1-AACD-944F-4B8C-8C6F4675D326}"/>
            </a:ext>
          </a:extLst>
        </xdr:cNvPr>
        <xdr:cNvSpPr txBox="1"/>
      </xdr:nvSpPr>
      <xdr:spPr>
        <a:xfrm>
          <a:off x="902917" y="213986"/>
          <a:ext cx="2369507" cy="22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Hospital</a:t>
          </a:r>
          <a:r>
            <a:rPr lang="en-IN" sz="1200" baseline="0"/>
            <a:t> Emergency Room Dashboard</a:t>
          </a:r>
        </a:p>
        <a:p>
          <a:r>
            <a:rPr lang="en-IN" sz="1200" baseline="0"/>
            <a:t>                     </a:t>
          </a:r>
          <a:endParaRPr lang="en-IN" sz="1200"/>
        </a:p>
      </xdr:txBody>
    </xdr:sp>
    <xdr:clientData/>
  </xdr:twoCellAnchor>
  <xdr:twoCellAnchor editAs="absolute">
    <xdr:from>
      <xdr:col>0</xdr:col>
      <xdr:colOff>0</xdr:colOff>
      <xdr:row>0</xdr:row>
      <xdr:rowOff>46972</xdr:rowOff>
    </xdr:from>
    <xdr:to>
      <xdr:col>1</xdr:col>
      <xdr:colOff>344466</xdr:colOff>
      <xdr:row>3</xdr:row>
      <xdr:rowOff>41753</xdr:rowOff>
    </xdr:to>
    <xdr:pic>
      <xdr:nvPicPr>
        <xdr:cNvPr id="14" name="Picture 13">
          <a:extLst>
            <a:ext uri="{FF2B5EF4-FFF2-40B4-BE49-F238E27FC236}">
              <a16:creationId xmlns:a16="http://schemas.microsoft.com/office/drawing/2014/main" id="{0F29D06B-13C7-7DF8-17FD-2C2EC6B743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6972"/>
          <a:ext cx="955110" cy="542795"/>
        </a:xfrm>
        <a:prstGeom prst="rect">
          <a:avLst/>
        </a:prstGeom>
      </xdr:spPr>
    </xdr:pic>
    <xdr:clientData/>
  </xdr:twoCellAnchor>
  <xdr:twoCellAnchor editAs="absolute">
    <xdr:from>
      <xdr:col>1</xdr:col>
      <xdr:colOff>470120</xdr:colOff>
      <xdr:row>4</xdr:row>
      <xdr:rowOff>78288</xdr:rowOff>
    </xdr:from>
    <xdr:to>
      <xdr:col>3</xdr:col>
      <xdr:colOff>380999</xdr:colOff>
      <xdr:row>5</xdr:row>
      <xdr:rowOff>140944</xdr:rowOff>
    </xdr:to>
    <xdr:sp macro="" textlink="">
      <xdr:nvSpPr>
        <xdr:cNvPr id="16" name="TextBox 15">
          <a:extLst>
            <a:ext uri="{FF2B5EF4-FFF2-40B4-BE49-F238E27FC236}">
              <a16:creationId xmlns:a16="http://schemas.microsoft.com/office/drawing/2014/main" id="{E7E2EDD2-732C-4B0B-A975-C7B9201B8D85}"/>
            </a:ext>
          </a:extLst>
        </xdr:cNvPr>
        <xdr:cNvSpPr txBox="1"/>
      </xdr:nvSpPr>
      <xdr:spPr>
        <a:xfrm>
          <a:off x="1080764" y="808973"/>
          <a:ext cx="1132167" cy="24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No. of Patient                     </a:t>
          </a:r>
          <a:endParaRPr lang="en-IN" sz="800"/>
        </a:p>
      </xdr:txBody>
    </xdr:sp>
    <xdr:clientData/>
  </xdr:twoCellAnchor>
  <xdr:twoCellAnchor editAs="absolute">
    <xdr:from>
      <xdr:col>3</xdr:col>
      <xdr:colOff>459287</xdr:colOff>
      <xdr:row>4</xdr:row>
      <xdr:rowOff>52192</xdr:rowOff>
    </xdr:from>
    <xdr:to>
      <xdr:col>5</xdr:col>
      <xdr:colOff>522415</xdr:colOff>
      <xdr:row>5</xdr:row>
      <xdr:rowOff>99732</xdr:rowOff>
    </xdr:to>
    <xdr:sp macro="" textlink="">
      <xdr:nvSpPr>
        <xdr:cNvPr id="17" name="TextBox 16">
          <a:extLst>
            <a:ext uri="{FF2B5EF4-FFF2-40B4-BE49-F238E27FC236}">
              <a16:creationId xmlns:a16="http://schemas.microsoft.com/office/drawing/2014/main" id="{9842EC27-1B88-4396-AE45-B83D3F77E631}"/>
            </a:ext>
          </a:extLst>
        </xdr:cNvPr>
        <xdr:cNvSpPr txBox="1"/>
      </xdr:nvSpPr>
      <xdr:spPr>
        <a:xfrm>
          <a:off x="2291219" y="782877"/>
          <a:ext cx="1284415" cy="230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Avgerage Wait Time                     </a:t>
          </a:r>
          <a:endParaRPr lang="en-IN" sz="800"/>
        </a:p>
      </xdr:txBody>
    </xdr:sp>
    <xdr:clientData/>
  </xdr:twoCellAnchor>
  <xdr:twoCellAnchor editAs="absolute">
    <xdr:from>
      <xdr:col>6</xdr:col>
      <xdr:colOff>221</xdr:colOff>
      <xdr:row>4</xdr:row>
      <xdr:rowOff>63173</xdr:rowOff>
    </xdr:from>
    <xdr:to>
      <xdr:col>7</xdr:col>
      <xdr:colOff>521744</xdr:colOff>
      <xdr:row>5</xdr:row>
      <xdr:rowOff>125829</xdr:rowOff>
    </xdr:to>
    <xdr:sp macro="" textlink="">
      <xdr:nvSpPr>
        <xdr:cNvPr id="18" name="TextBox 17">
          <a:extLst>
            <a:ext uri="{FF2B5EF4-FFF2-40B4-BE49-F238E27FC236}">
              <a16:creationId xmlns:a16="http://schemas.microsoft.com/office/drawing/2014/main" id="{E29A1BAE-D64C-4C7E-B37B-2CC5F6EB4C87}"/>
            </a:ext>
          </a:extLst>
        </xdr:cNvPr>
        <xdr:cNvSpPr txBox="1"/>
      </xdr:nvSpPr>
      <xdr:spPr>
        <a:xfrm>
          <a:off x="3664084" y="793858"/>
          <a:ext cx="1132167" cy="24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Patient Satisfaction Score                     </a:t>
          </a:r>
          <a:endParaRPr lang="en-IN" sz="800"/>
        </a:p>
      </xdr:txBody>
    </xdr:sp>
    <xdr:clientData/>
  </xdr:twoCellAnchor>
  <xdr:twoCellAnchor editAs="absolute">
    <xdr:from>
      <xdr:col>1</xdr:col>
      <xdr:colOff>456944</xdr:colOff>
      <xdr:row>3</xdr:row>
      <xdr:rowOff>63172</xdr:rowOff>
    </xdr:from>
    <xdr:to>
      <xdr:col>3</xdr:col>
      <xdr:colOff>367823</xdr:colOff>
      <xdr:row>4</xdr:row>
      <xdr:rowOff>125828</xdr:rowOff>
    </xdr:to>
    <xdr:sp macro="" textlink="'Pivot Report'!A5">
      <xdr:nvSpPr>
        <xdr:cNvPr id="19" name="TextBox 18">
          <a:extLst>
            <a:ext uri="{FF2B5EF4-FFF2-40B4-BE49-F238E27FC236}">
              <a16:creationId xmlns:a16="http://schemas.microsoft.com/office/drawing/2014/main" id="{DEB615AF-A294-4645-A573-17CC127FDEE8}"/>
            </a:ext>
          </a:extLst>
        </xdr:cNvPr>
        <xdr:cNvSpPr txBox="1"/>
      </xdr:nvSpPr>
      <xdr:spPr>
        <a:xfrm>
          <a:off x="1067588" y="611186"/>
          <a:ext cx="1132167" cy="24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4AB3B8D-F782-4FD4-8A04-07ABBB0F28D8}" type="TxLink">
            <a:rPr lang="en-US" sz="1100" b="0" i="0" u="none" strike="noStrike" baseline="0">
              <a:solidFill>
                <a:srgbClr val="000000"/>
              </a:solidFill>
              <a:latin typeface="Calibri"/>
              <a:ea typeface="Calibri"/>
              <a:cs typeface="Calibri"/>
            </a:rPr>
            <a:pPr algn="ctr"/>
            <a:t>479</a:t>
          </a:fld>
          <a:endParaRPr lang="en-IN" sz="1200"/>
        </a:p>
      </xdr:txBody>
    </xdr:sp>
    <xdr:clientData/>
  </xdr:twoCellAnchor>
  <xdr:twoCellAnchor editAs="absolute">
    <xdr:from>
      <xdr:col>5</xdr:col>
      <xdr:colOff>606315</xdr:colOff>
      <xdr:row>3</xdr:row>
      <xdr:rowOff>84049</xdr:rowOff>
    </xdr:from>
    <xdr:to>
      <xdr:col>7</xdr:col>
      <xdr:colOff>517194</xdr:colOff>
      <xdr:row>4</xdr:row>
      <xdr:rowOff>146705</xdr:rowOff>
    </xdr:to>
    <xdr:sp macro="" textlink="'Pivot Report'!A14">
      <xdr:nvSpPr>
        <xdr:cNvPr id="20" name="TextBox 19">
          <a:extLst>
            <a:ext uri="{FF2B5EF4-FFF2-40B4-BE49-F238E27FC236}">
              <a16:creationId xmlns:a16="http://schemas.microsoft.com/office/drawing/2014/main" id="{E2B3D55D-B25B-4532-B556-79F18D1B16E5}"/>
            </a:ext>
          </a:extLst>
        </xdr:cNvPr>
        <xdr:cNvSpPr txBox="1"/>
      </xdr:nvSpPr>
      <xdr:spPr>
        <a:xfrm>
          <a:off x="3659534" y="632063"/>
          <a:ext cx="1132167" cy="24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16C5B17-5352-424E-BF6D-284022E295CD}" type="TxLink">
            <a:rPr lang="en-US" sz="1100" b="0" i="0" u="none" strike="noStrike">
              <a:solidFill>
                <a:srgbClr val="000000"/>
              </a:solidFill>
              <a:latin typeface="Calibri"/>
              <a:ea typeface="Calibri"/>
              <a:cs typeface="Calibri"/>
            </a:rPr>
            <a:pPr algn="ctr"/>
            <a:t>5.30</a:t>
          </a:fld>
          <a:endParaRPr lang="en-IN" sz="1200"/>
        </a:p>
      </xdr:txBody>
    </xdr:sp>
    <xdr:clientData/>
  </xdr:twoCellAnchor>
  <xdr:twoCellAnchor editAs="absolute">
    <xdr:from>
      <xdr:col>4</xdr:col>
      <xdr:colOff>167906</xdr:colOff>
      <xdr:row>3</xdr:row>
      <xdr:rowOff>84049</xdr:rowOff>
    </xdr:from>
    <xdr:to>
      <xdr:col>5</xdr:col>
      <xdr:colOff>287056</xdr:colOff>
      <xdr:row>4</xdr:row>
      <xdr:rowOff>135699</xdr:rowOff>
    </xdr:to>
    <xdr:sp macro="" textlink="'Pivot Report'!A9">
      <xdr:nvSpPr>
        <xdr:cNvPr id="21" name="TextBox 20">
          <a:extLst>
            <a:ext uri="{FF2B5EF4-FFF2-40B4-BE49-F238E27FC236}">
              <a16:creationId xmlns:a16="http://schemas.microsoft.com/office/drawing/2014/main" id="{28C2C417-CD5E-5235-CDCE-22C7E9441BB6}"/>
            </a:ext>
          </a:extLst>
        </xdr:cNvPr>
        <xdr:cNvSpPr txBox="1"/>
      </xdr:nvSpPr>
      <xdr:spPr>
        <a:xfrm>
          <a:off x="2610481" y="632063"/>
          <a:ext cx="729794" cy="23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0272DEF-1979-4607-B873-C0AE1EF62626}" type="TxLink">
            <a:rPr lang="en-US" sz="1100" b="0" i="0" u="none" strike="noStrike" baseline="0">
              <a:solidFill>
                <a:srgbClr val="000000"/>
              </a:solidFill>
              <a:latin typeface="Calibri"/>
              <a:ea typeface="Calibri"/>
              <a:cs typeface="Calibri"/>
            </a:rPr>
            <a:pPr algn="ctr"/>
            <a:t>34.90</a:t>
          </a:fld>
          <a:endParaRPr lang="en-IN" sz="1200"/>
        </a:p>
      </xdr:txBody>
    </xdr:sp>
    <xdr:clientData/>
  </xdr:twoCellAnchor>
  <xdr:twoCellAnchor editAs="absolute">
    <xdr:from>
      <xdr:col>3</xdr:col>
      <xdr:colOff>161794</xdr:colOff>
      <xdr:row>3</xdr:row>
      <xdr:rowOff>93945</xdr:rowOff>
    </xdr:from>
    <xdr:to>
      <xdr:col>3</xdr:col>
      <xdr:colOff>396658</xdr:colOff>
      <xdr:row>4</xdr:row>
      <xdr:rowOff>109603</xdr:rowOff>
    </xdr:to>
    <xdr:pic>
      <xdr:nvPicPr>
        <xdr:cNvPr id="23" name="Graphic 22" descr="Male profile with solid fill">
          <a:extLst>
            <a:ext uri="{FF2B5EF4-FFF2-40B4-BE49-F238E27FC236}">
              <a16:creationId xmlns:a16="http://schemas.microsoft.com/office/drawing/2014/main" id="{714C8F71-E010-D47B-C54F-0FB5D28B155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93726" y="641959"/>
          <a:ext cx="234864" cy="198329"/>
        </a:xfrm>
        <a:prstGeom prst="rect">
          <a:avLst/>
        </a:prstGeom>
      </xdr:spPr>
    </xdr:pic>
    <xdr:clientData/>
  </xdr:twoCellAnchor>
  <xdr:twoCellAnchor editAs="absolute">
    <xdr:from>
      <xdr:col>5</xdr:col>
      <xdr:colOff>281836</xdr:colOff>
      <xdr:row>3</xdr:row>
      <xdr:rowOff>114823</xdr:rowOff>
    </xdr:from>
    <xdr:to>
      <xdr:col>5</xdr:col>
      <xdr:colOff>533400</xdr:colOff>
      <xdr:row>4</xdr:row>
      <xdr:rowOff>93946</xdr:rowOff>
    </xdr:to>
    <xdr:pic>
      <xdr:nvPicPr>
        <xdr:cNvPr id="25" name="Graphic 24" descr="Hourglass Finished with solid fill">
          <a:extLst>
            <a:ext uri="{FF2B5EF4-FFF2-40B4-BE49-F238E27FC236}">
              <a16:creationId xmlns:a16="http://schemas.microsoft.com/office/drawing/2014/main" id="{AAE44E78-7649-7554-E2F9-B0A5BA21AFC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35055" y="662837"/>
          <a:ext cx="251564" cy="161794"/>
        </a:xfrm>
        <a:prstGeom prst="rect">
          <a:avLst/>
        </a:prstGeom>
      </xdr:spPr>
    </xdr:pic>
    <xdr:clientData/>
  </xdr:twoCellAnchor>
  <xdr:twoCellAnchor editAs="absolute">
    <xdr:from>
      <xdr:col>7</xdr:col>
      <xdr:colOff>354904</xdr:colOff>
      <xdr:row>3</xdr:row>
      <xdr:rowOff>104384</xdr:rowOff>
    </xdr:from>
    <xdr:to>
      <xdr:col>7</xdr:col>
      <xdr:colOff>580372</xdr:colOff>
      <xdr:row>4</xdr:row>
      <xdr:rowOff>125260</xdr:rowOff>
    </xdr:to>
    <xdr:pic>
      <xdr:nvPicPr>
        <xdr:cNvPr id="27" name="Graphic 26" descr="Chat bubble with solid fill">
          <a:extLst>
            <a:ext uri="{FF2B5EF4-FFF2-40B4-BE49-F238E27FC236}">
              <a16:creationId xmlns:a16="http://schemas.microsoft.com/office/drawing/2014/main" id="{AA885A78-C761-A7DC-B57A-62D39D29D6A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29411" y="652398"/>
          <a:ext cx="225468" cy="203547"/>
        </a:xfrm>
        <a:prstGeom prst="rect">
          <a:avLst/>
        </a:prstGeom>
      </xdr:spPr>
    </xdr:pic>
    <xdr:clientData/>
  </xdr:twoCellAnchor>
  <xdr:twoCellAnchor editAs="absolute">
    <xdr:from>
      <xdr:col>0</xdr:col>
      <xdr:colOff>146140</xdr:colOff>
      <xdr:row>3</xdr:row>
      <xdr:rowOff>99164</xdr:rowOff>
    </xdr:from>
    <xdr:to>
      <xdr:col>1</xdr:col>
      <xdr:colOff>282946</xdr:colOff>
      <xdr:row>15</xdr:row>
      <xdr:rowOff>140918</xdr:rowOff>
    </xdr:to>
    <mc:AlternateContent xmlns:mc="http://schemas.openxmlformats.org/markup-compatibility/2006">
      <mc:Choice xmlns:a14="http://schemas.microsoft.com/office/drawing/2010/main" Requires="a14">
        <xdr:graphicFrame macro="">
          <xdr:nvGraphicFramePr>
            <xdr:cNvPr id="28" name="Date (Month)">
              <a:extLst>
                <a:ext uri="{FF2B5EF4-FFF2-40B4-BE49-F238E27FC236}">
                  <a16:creationId xmlns:a16="http://schemas.microsoft.com/office/drawing/2014/main" id="{27A4C75F-59C4-44CE-B1A4-2BCB4592657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46140" y="653346"/>
              <a:ext cx="748715" cy="2258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407096</xdr:colOff>
      <xdr:row>5</xdr:row>
      <xdr:rowOff>140918</xdr:rowOff>
    </xdr:from>
    <xdr:to>
      <xdr:col>3</xdr:col>
      <xdr:colOff>454069</xdr:colOff>
      <xdr:row>7</xdr:row>
      <xdr:rowOff>93943</xdr:rowOff>
    </xdr:to>
    <xdr:graphicFrame macro="">
      <xdr:nvGraphicFramePr>
        <xdr:cNvPr id="29" name="Chart 28">
          <a:hlinkClick xmlns:r="http://schemas.openxmlformats.org/officeDocument/2006/relationships" r:id="rId8"/>
          <a:extLst>
            <a:ext uri="{FF2B5EF4-FFF2-40B4-BE49-F238E27FC236}">
              <a16:creationId xmlns:a16="http://schemas.microsoft.com/office/drawing/2014/main" id="{F004CB40-FA51-41B4-91C3-A28E98C15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375781</xdr:colOff>
      <xdr:row>5</xdr:row>
      <xdr:rowOff>62630</xdr:rowOff>
    </xdr:from>
    <xdr:to>
      <xdr:col>5</xdr:col>
      <xdr:colOff>584549</xdr:colOff>
      <xdr:row>7</xdr:row>
      <xdr:rowOff>99163</xdr:rowOff>
    </xdr:to>
    <xdr:graphicFrame macro="">
      <xdr:nvGraphicFramePr>
        <xdr:cNvPr id="31" name="Chart 30">
          <a:hlinkClick xmlns:r="http://schemas.openxmlformats.org/officeDocument/2006/relationships" r:id="rId10"/>
          <a:extLst>
            <a:ext uri="{FF2B5EF4-FFF2-40B4-BE49-F238E27FC236}">
              <a16:creationId xmlns:a16="http://schemas.microsoft.com/office/drawing/2014/main" id="{F903D83E-BF4B-4D12-80FB-DC8EA2904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464507</xdr:colOff>
      <xdr:row>5</xdr:row>
      <xdr:rowOff>78288</xdr:rowOff>
    </xdr:from>
    <xdr:to>
      <xdr:col>8</xdr:col>
      <xdr:colOff>0</xdr:colOff>
      <xdr:row>7</xdr:row>
      <xdr:rowOff>115850</xdr:rowOff>
    </xdr:to>
    <xdr:graphicFrame macro="">
      <xdr:nvGraphicFramePr>
        <xdr:cNvPr id="32" name="Chart 31">
          <a:hlinkClick xmlns:r="http://schemas.openxmlformats.org/officeDocument/2006/relationships" r:id="rId12"/>
          <a:extLst>
            <a:ext uri="{FF2B5EF4-FFF2-40B4-BE49-F238E27FC236}">
              <a16:creationId xmlns:a16="http://schemas.microsoft.com/office/drawing/2014/main" id="{76AD3292-BC72-45E1-8937-059CFD0B5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427972</xdr:colOff>
          <xdr:row>7</xdr:row>
          <xdr:rowOff>135698</xdr:rowOff>
        </xdr:from>
        <xdr:to>
          <xdr:col>7</xdr:col>
          <xdr:colOff>600204</xdr:colOff>
          <xdr:row>10</xdr:row>
          <xdr:rowOff>109603</xdr:rowOff>
        </xdr:to>
        <xdr:pic>
          <xdr:nvPicPr>
            <xdr:cNvPr id="34" name="Picture 33">
              <a:extLst>
                <a:ext uri="{FF2B5EF4-FFF2-40B4-BE49-F238E27FC236}">
                  <a16:creationId xmlns:a16="http://schemas.microsoft.com/office/drawing/2014/main" id="{61AB3586-7AA5-AC1F-D056-C0AAA2803CC4}"/>
                </a:ext>
              </a:extLst>
            </xdr:cNvPr>
            <xdr:cNvPicPr>
              <a:picLocks noChangeAspect="1" noChangeArrowheads="1"/>
              <a:extLst>
                <a:ext uri="{84589F7E-364E-4C9E-8A38-B11213B215E9}">
                  <a14:cameraTool cellRange="'Pivot Report'!$B$48:$E$50" spid="_x0000_s1033"/>
                </a:ext>
              </a:extLst>
            </xdr:cNvPicPr>
          </xdr:nvPicPr>
          <xdr:blipFill>
            <a:blip xmlns:r="http://schemas.openxmlformats.org/officeDocument/2006/relationships" r:embed="rId14"/>
            <a:srcRect/>
            <a:stretch>
              <a:fillRect/>
            </a:stretch>
          </xdr:blipFill>
          <xdr:spPr bwMode="auto">
            <a:xfrm>
              <a:off x="1038616" y="1414397"/>
              <a:ext cx="3836095" cy="52191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438411</xdr:colOff>
      <xdr:row>11</xdr:row>
      <xdr:rowOff>10438</xdr:rowOff>
    </xdr:from>
    <xdr:to>
      <xdr:col>7</xdr:col>
      <xdr:colOff>594986</xdr:colOff>
      <xdr:row>15</xdr:row>
      <xdr:rowOff>149269</xdr:rowOff>
    </xdr:to>
    <xdr:graphicFrame macro="">
      <xdr:nvGraphicFramePr>
        <xdr:cNvPr id="35" name="Chart 34">
          <a:extLst>
            <a:ext uri="{FF2B5EF4-FFF2-40B4-BE49-F238E27FC236}">
              <a16:creationId xmlns:a16="http://schemas.microsoft.com/office/drawing/2014/main" id="{C3610E78-B891-4235-9A62-B924983F8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380998</xdr:colOff>
      <xdr:row>14</xdr:row>
      <xdr:rowOff>125260</xdr:rowOff>
    </xdr:from>
    <xdr:to>
      <xdr:col>6</xdr:col>
      <xdr:colOff>0</xdr:colOff>
      <xdr:row>16</xdr:row>
      <xdr:rowOff>5244</xdr:rowOff>
    </xdr:to>
    <xdr:sp macro="" textlink="">
      <xdr:nvSpPr>
        <xdr:cNvPr id="36" name="TextBox 35">
          <a:extLst>
            <a:ext uri="{FF2B5EF4-FFF2-40B4-BE49-F238E27FC236}">
              <a16:creationId xmlns:a16="http://schemas.microsoft.com/office/drawing/2014/main" id="{CACAE286-B8C5-47E2-880B-63384FEA9929}"/>
            </a:ext>
          </a:extLst>
        </xdr:cNvPr>
        <xdr:cNvSpPr txBox="1"/>
      </xdr:nvSpPr>
      <xdr:spPr>
        <a:xfrm>
          <a:off x="2212930" y="2682657"/>
          <a:ext cx="1450933" cy="24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No. of Patients by Age Group                   </a:t>
          </a:r>
          <a:endParaRPr lang="en-IN" sz="800"/>
        </a:p>
      </xdr:txBody>
    </xdr:sp>
    <xdr:clientData/>
  </xdr:twoCellAnchor>
  <xdr:twoCellAnchor>
    <xdr:from>
      <xdr:col>8</xdr:col>
      <xdr:colOff>73068</xdr:colOff>
      <xdr:row>0</xdr:row>
      <xdr:rowOff>78288</xdr:rowOff>
    </xdr:from>
    <xdr:to>
      <xdr:col>10</xdr:col>
      <xdr:colOff>117904</xdr:colOff>
      <xdr:row>5</xdr:row>
      <xdr:rowOff>167014</xdr:rowOff>
    </xdr:to>
    <xdr:graphicFrame macro="">
      <xdr:nvGraphicFramePr>
        <xdr:cNvPr id="37" name="Chart 36">
          <a:extLst>
            <a:ext uri="{FF2B5EF4-FFF2-40B4-BE49-F238E27FC236}">
              <a16:creationId xmlns:a16="http://schemas.microsoft.com/office/drawing/2014/main" id="{6AD710B2-899B-45C1-8910-D365F6802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155227</xdr:colOff>
      <xdr:row>5</xdr:row>
      <xdr:rowOff>138817</xdr:rowOff>
    </xdr:from>
    <xdr:to>
      <xdr:col>10</xdr:col>
      <xdr:colOff>66107</xdr:colOff>
      <xdr:row>7</xdr:row>
      <xdr:rowOff>18801</xdr:rowOff>
    </xdr:to>
    <xdr:sp macro="" textlink="">
      <xdr:nvSpPr>
        <xdr:cNvPr id="38" name="TextBox 37">
          <a:extLst>
            <a:ext uri="{FF2B5EF4-FFF2-40B4-BE49-F238E27FC236}">
              <a16:creationId xmlns:a16="http://schemas.microsoft.com/office/drawing/2014/main" id="{61048DAE-ECFE-4AA2-AAA4-CDF77F56819C}"/>
            </a:ext>
          </a:extLst>
        </xdr:cNvPr>
        <xdr:cNvSpPr txBox="1"/>
      </xdr:nvSpPr>
      <xdr:spPr>
        <a:xfrm>
          <a:off x="5040378" y="1052173"/>
          <a:ext cx="1132167" cy="24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Patient Attend Status                    </a:t>
          </a:r>
          <a:endParaRPr lang="en-IN" sz="800"/>
        </a:p>
      </xdr:txBody>
    </xdr:sp>
    <xdr:clientData/>
  </xdr:twoCellAnchor>
  <xdr:twoCellAnchor>
    <xdr:from>
      <xdr:col>10</xdr:col>
      <xdr:colOff>208766</xdr:colOff>
      <xdr:row>0</xdr:row>
      <xdr:rowOff>78287</xdr:rowOff>
    </xdr:from>
    <xdr:to>
      <xdr:col>12</xdr:col>
      <xdr:colOff>135697</xdr:colOff>
      <xdr:row>6</xdr:row>
      <xdr:rowOff>19701</xdr:rowOff>
    </xdr:to>
    <xdr:graphicFrame macro="">
      <xdr:nvGraphicFramePr>
        <xdr:cNvPr id="39" name="Chart 38">
          <a:extLst>
            <a:ext uri="{FF2B5EF4-FFF2-40B4-BE49-F238E27FC236}">
              <a16:creationId xmlns:a16="http://schemas.microsoft.com/office/drawing/2014/main" id="{3B4C082C-4E62-4734-A5B1-84B5694F1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311803</xdr:colOff>
      <xdr:row>5</xdr:row>
      <xdr:rowOff>128378</xdr:rowOff>
    </xdr:from>
    <xdr:to>
      <xdr:col>12</xdr:col>
      <xdr:colOff>222682</xdr:colOff>
      <xdr:row>7</xdr:row>
      <xdr:rowOff>8362</xdr:rowOff>
    </xdr:to>
    <xdr:sp macro="" textlink="">
      <xdr:nvSpPr>
        <xdr:cNvPr id="40" name="TextBox 39">
          <a:extLst>
            <a:ext uri="{FF2B5EF4-FFF2-40B4-BE49-F238E27FC236}">
              <a16:creationId xmlns:a16="http://schemas.microsoft.com/office/drawing/2014/main" id="{F2453475-2314-418F-8C42-FD778B00ACF7}"/>
            </a:ext>
          </a:extLst>
        </xdr:cNvPr>
        <xdr:cNvSpPr txBox="1"/>
      </xdr:nvSpPr>
      <xdr:spPr>
        <a:xfrm>
          <a:off x="6418241" y="1041734"/>
          <a:ext cx="1132167" cy="24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Gender wise Analysis                   </a:t>
          </a:r>
          <a:endParaRPr lang="en-IN" sz="800"/>
        </a:p>
      </xdr:txBody>
    </xdr:sp>
    <xdr:clientData/>
  </xdr:twoCellAnchor>
  <xdr:twoCellAnchor>
    <xdr:from>
      <xdr:col>8</xdr:col>
      <xdr:colOff>20878</xdr:colOff>
      <xdr:row>7</xdr:row>
      <xdr:rowOff>36534</xdr:rowOff>
    </xdr:from>
    <xdr:to>
      <xdr:col>12</xdr:col>
      <xdr:colOff>266178</xdr:colOff>
      <xdr:row>15</xdr:row>
      <xdr:rowOff>177452</xdr:rowOff>
    </xdr:to>
    <xdr:graphicFrame macro="">
      <xdr:nvGraphicFramePr>
        <xdr:cNvPr id="41" name="Chart 40">
          <a:extLst>
            <a:ext uri="{FF2B5EF4-FFF2-40B4-BE49-F238E27FC236}">
              <a16:creationId xmlns:a16="http://schemas.microsoft.com/office/drawing/2014/main" id="{5B05ACA3-7FB2-4D1B-8D8E-FA2103CF9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5</xdr:col>
      <xdr:colOff>461279</xdr:colOff>
      <xdr:row>1</xdr:row>
      <xdr:rowOff>31315</xdr:rowOff>
    </xdr:from>
    <xdr:to>
      <xdr:col>7</xdr:col>
      <xdr:colOff>579330</xdr:colOff>
      <xdr:row>3</xdr:row>
      <xdr:rowOff>20876</xdr:rowOff>
    </xdr:to>
    <mc:AlternateContent xmlns:mc="http://schemas.openxmlformats.org/markup-compatibility/2006">
      <mc:Choice xmlns:a14="http://schemas.microsoft.com/office/drawing/2010/main" Requires="a14">
        <xdr:graphicFrame macro="">
          <xdr:nvGraphicFramePr>
            <xdr:cNvPr id="42" name="Date (Year)">
              <a:extLst>
                <a:ext uri="{FF2B5EF4-FFF2-40B4-BE49-F238E27FC236}">
                  <a16:creationId xmlns:a16="http://schemas.microsoft.com/office/drawing/2014/main" id="{D8322609-5090-4261-B905-3CE454210AA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520824" y="216042"/>
              <a:ext cx="1341870" cy="359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62630</xdr:colOff>
      <xdr:row>0</xdr:row>
      <xdr:rowOff>46853</xdr:rowOff>
    </xdr:from>
    <xdr:to>
      <xdr:col>7</xdr:col>
      <xdr:colOff>335623</xdr:colOff>
      <xdr:row>1</xdr:row>
      <xdr:rowOff>99165</xdr:rowOff>
    </xdr:to>
    <xdr:sp macro="" textlink="">
      <xdr:nvSpPr>
        <xdr:cNvPr id="43" name="TextBox 42">
          <a:extLst>
            <a:ext uri="{FF2B5EF4-FFF2-40B4-BE49-F238E27FC236}">
              <a16:creationId xmlns:a16="http://schemas.microsoft.com/office/drawing/2014/main" id="{5730C7D1-357D-461E-BAEF-8A63D4D95940}"/>
            </a:ext>
          </a:extLst>
        </xdr:cNvPr>
        <xdr:cNvSpPr txBox="1"/>
      </xdr:nvSpPr>
      <xdr:spPr>
        <a:xfrm>
          <a:off x="3726493" y="46853"/>
          <a:ext cx="883637" cy="23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baseline="0"/>
            <a:t>Select Year                 </a:t>
          </a:r>
          <a:endParaRPr lang="en-IN" sz="8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0.21773</cdr:x>
      <cdr:y>0.84689</cdr:y>
    </cdr:from>
    <cdr:to>
      <cdr:x>0.85551</cdr:x>
      <cdr:y>1</cdr:y>
    </cdr:to>
    <cdr:sp macro="" textlink="">
      <cdr:nvSpPr>
        <cdr:cNvPr id="2" name="TextBox 37">
          <a:extLst xmlns:a="http://schemas.openxmlformats.org/drawingml/2006/main">
            <a:ext uri="{FF2B5EF4-FFF2-40B4-BE49-F238E27FC236}">
              <a16:creationId xmlns:a16="http://schemas.microsoft.com/office/drawing/2014/main" id="{61048DAE-ECFE-4AA2-AAA4-CDF77F56819C}"/>
            </a:ext>
          </a:extLst>
        </cdr:cNvPr>
        <cdr:cNvSpPr txBox="1"/>
      </cdr:nvSpPr>
      <cdr:spPr>
        <a:xfrm xmlns:a="http://schemas.openxmlformats.org/drawingml/2006/main">
          <a:off x="597725" y="1356960"/>
          <a:ext cx="1750882" cy="24532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baseline="0"/>
            <a:t>No. of Patients by Department Referal                  </a:t>
          </a:r>
          <a:endParaRPr lang="en-IN" sz="8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434340</xdr:colOff>
      <xdr:row>1</xdr:row>
      <xdr:rowOff>175260</xdr:rowOff>
    </xdr:from>
    <xdr:to>
      <xdr:col>17</xdr:col>
      <xdr:colOff>289560</xdr:colOff>
      <xdr:row>20</xdr:row>
      <xdr:rowOff>53340</xdr:rowOff>
    </xdr:to>
    <xdr:graphicFrame macro="">
      <xdr:nvGraphicFramePr>
        <xdr:cNvPr id="2" name="Chart 1">
          <a:extLst>
            <a:ext uri="{FF2B5EF4-FFF2-40B4-BE49-F238E27FC236}">
              <a16:creationId xmlns:a16="http://schemas.microsoft.com/office/drawing/2014/main" id="{95ABDCF3-A057-4C2E-85FD-9984C0A21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487680</xdr:colOff>
      <xdr:row>2</xdr:row>
      <xdr:rowOff>22860</xdr:rowOff>
    </xdr:from>
    <xdr:to>
      <xdr:col>1</xdr:col>
      <xdr:colOff>487680</xdr:colOff>
      <xdr:row>5</xdr:row>
      <xdr:rowOff>45720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85CFBE6-E8C3-D998-9E91-BDCCB17B71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7680" y="388620"/>
          <a:ext cx="609600" cy="571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38100</xdr:colOff>
      <xdr:row>1</xdr:row>
      <xdr:rowOff>76200</xdr:rowOff>
    </xdr:from>
    <xdr:to>
      <xdr:col>16</xdr:col>
      <xdr:colOff>472440</xdr:colOff>
      <xdr:row>20</xdr:row>
      <xdr:rowOff>22860</xdr:rowOff>
    </xdr:to>
    <xdr:graphicFrame macro="">
      <xdr:nvGraphicFramePr>
        <xdr:cNvPr id="2" name="Chart 1">
          <a:extLst>
            <a:ext uri="{FF2B5EF4-FFF2-40B4-BE49-F238E27FC236}">
              <a16:creationId xmlns:a16="http://schemas.microsoft.com/office/drawing/2014/main" id="{7752B0C0-199E-45C0-998C-35E2B8AB8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0.0053</cdr:x>
      <cdr:y>0.01485</cdr:y>
    </cdr:from>
    <cdr:to>
      <cdr:x>0.06895</cdr:x>
      <cdr:y>0.18189</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85CFBE6-E8C3-D998-9E91-BDCCB17B71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09600" cy="5715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525780</xdr:colOff>
      <xdr:row>1</xdr:row>
      <xdr:rowOff>114300</xdr:rowOff>
    </xdr:from>
    <xdr:to>
      <xdr:col>16</xdr:col>
      <xdr:colOff>251460</xdr:colOff>
      <xdr:row>19</xdr:row>
      <xdr:rowOff>121920</xdr:rowOff>
    </xdr:to>
    <xdr:graphicFrame macro="">
      <xdr:nvGraphicFramePr>
        <xdr:cNvPr id="2" name="Chart 1">
          <a:extLst>
            <a:ext uri="{FF2B5EF4-FFF2-40B4-BE49-F238E27FC236}">
              <a16:creationId xmlns:a16="http://schemas.microsoft.com/office/drawing/2014/main" id="{132EEED8-5FCA-47BB-9276-08C716FA4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0.00536</cdr:x>
      <cdr:y>0.0154</cdr:y>
    </cdr:from>
    <cdr:to>
      <cdr:x>0.06967</cdr:x>
      <cdr:y>0.18861</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85CFBE6-E8C3-D998-9E91-BDCCB17B71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09600" cy="5715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05671297" createdVersion="5" refreshedVersion="8" minRefreshableVersion="3" recordCount="0" supportSubquery="1" supportAdvancedDrill="1" xr:uid="{C052D97D-8EBF-4A96-AFD2-A6DDF8E76FAC}">
  <cacheSource type="external" connectionId="3"/>
  <cacheFields count="4">
    <cacheField name="[Measures].[Count of Patient Id]" caption="Count of Patient Id" numFmtId="0" hierarchy="23"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0601852" createdVersion="5" refreshedVersion="8" minRefreshableVersion="3" recordCount="0" supportSubquery="1" supportAdvancedDrill="1" xr:uid="{E27E53C9-4A6D-4B4B-88DF-1C1FAC9D6B92}">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06597221" createdVersion="5" refreshedVersion="8" minRefreshableVersion="3" recordCount="0" supportSubquery="1" supportAdvancedDrill="1" xr:uid="{AEEA25F6-FB85-46AF-922B-47FEA933C880}">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07291667" createdVersion="5" refreshedVersion="8" minRefreshableVersion="3" recordCount="0" supportSubquery="1" supportAdvancedDrill="1" xr:uid="{CD36A9AC-DD2D-4B5F-BE2D-B2E1E6DDF3D8}">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08101852" createdVersion="5" refreshedVersion="8" minRefreshableVersion="3" recordCount="0" supportSubquery="1" supportAdvancedDrill="1" xr:uid="{9B88D74F-3601-4F92-B17A-3FD2E09589D4}">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08564814" createdVersion="5" refreshedVersion="8" minRefreshableVersion="3" recordCount="0" supportSubquery="1" supportAdvancedDrill="1" xr:uid="{6522C55D-BE41-4D2B-8A28-3E70011F0A3A}">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09143522" createdVersion="5" refreshedVersion="8" minRefreshableVersion="3" recordCount="0" supportSubquery="1" supportAdvancedDrill="1" xr:uid="{FF3C2AC3-B20C-415B-9C04-DBEB4E20AE20}">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09722223" createdVersion="5" refreshedVersion="8" minRefreshableVersion="3" recordCount="0" supportSubquery="1" supportAdvancedDrill="1" xr:uid="{032D2987-B800-4EBF-B8F4-94A72D7C7087}">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99"/>
        <s v="60-69"/>
        <s v="70-79"/>
      </sharedItems>
    </cacheField>
    <cacheField name="[Measures].[Count of Patient Age]" caption="Count of Patient Age"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10300923" createdVersion="5" refreshedVersion="8" minRefreshableVersion="3" recordCount="0" supportSubquery="1" supportAdvancedDrill="1" xr:uid="{BE1753FD-7876-4485-B49F-B8C15ADE9FA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10763892" createdVersion="5" refreshedVersion="8" minRefreshableVersion="3" recordCount="0" supportSubquery="1" supportAdvancedDrill="1" xr:uid="{37295D32-45AC-438D-93B0-D76E4F26D187}">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4"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11342593" createdVersion="5" refreshedVersion="8" minRefreshableVersion="3" recordCount="0" supportSubquery="1" supportAdvancedDrill="1" xr:uid="{D4CE0D6E-626A-4091-8334-EF9A5F54D93C}">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93011921294" createdVersion="5" refreshedVersion="8" minRefreshableVersion="3" recordCount="0" supportSubquery="1" supportAdvancedDrill="1" xr:uid="{C4EE7F95-9A4A-4699-9BF6-1196C1D40ADA}">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refreshedDate="45983.578863541668" createdVersion="3" refreshedVersion="8" minRefreshableVersion="3" recordCount="0" supportSubquery="1" supportAdvancedDrill="1" xr:uid="{ABC19363-444B-470E-847A-E4C4587D066B}">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394679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5DB57-CA58-47ED-B5D7-18EF8668B8B3}" name="PivotTable3" cacheId="2041" applyNumberFormats="0" applyBorderFormats="0" applyFontFormats="0" applyPatternFormats="0" applyAlignmentFormats="0" applyWidthHeightFormats="1" dataCaption="Values" tag="50fb83e7-bf5c-4344-bdb0-a9db5e15197b" updatedVersion="8" minRefreshableVersion="3" useAutoFormatting="1"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17A6A0-D00E-445A-9558-C4D5D709DF4F}" name="PivotTable7" cacheId="2050" applyNumberFormats="0" applyBorderFormats="0" applyFontFormats="0" applyPatternFormats="0" applyAlignmentFormats="0" applyWidthHeightFormats="1" dataCaption="Values" tag="62a4c651-52ff-4363-8363-c6888440e56e" updatedVersion="8" minRefreshableVersion="3" subtotalHiddenItems="1" itemPrintTitles="1" createdVersion="5" indent="0" outline="1" outlineData="1" multipleFieldFilters="0" chartFormat="9">
  <location ref="B42:D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4">
      <pivotArea outline="0" collapsedLevelsAreSubtotals="1" fieldPosition="0"/>
    </format>
    <format dxfId="3">
      <pivotArea collapsedLevelsAreSubtotals="1" fieldPosition="0">
        <references count="1">
          <reference field="1" count="0"/>
        </references>
      </pivotArea>
    </format>
    <format dxfId="2">
      <pivotArea outline="0" fieldPosition="0">
        <references count="1">
          <reference field="4294967294" count="1">
            <x v="1"/>
          </reference>
        </references>
      </pivotArea>
    </format>
    <format dxfId="1">
      <pivotArea collapsedLevelsAreSubtotals="1" fieldPosition="0">
        <references count="2">
          <reference field="4294967294" count="1" selected="0">
            <x v="1"/>
          </reference>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6EC1D9-1D04-46F2-9B0C-078FF5CC17EC}" name="PivotTable12" cacheId="2065" applyNumberFormats="0" applyBorderFormats="0" applyFontFormats="0" applyPatternFormats="0" applyAlignmentFormats="0" applyWidthHeightFormats="1" dataCaption="Values" tag="5b8ac725-21c0-4cf6-8207-0d3dd320c0d0" updatedVersion="8" minRefreshableVersion="3" subtotalHiddenItems="1" itemPrintTitles="1" createdVersion="5" indent="0" outline="1" outlineData="1" multipleFieldFilters="0" chartFormat="24">
  <location ref="E64:E6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5869B5-32AD-4034-802F-7FE7B04AE59B}" name="PivotTable11" cacheId="2062" applyNumberFormats="0" applyBorderFormats="0" applyFontFormats="0" applyPatternFormats="0" applyAlignmentFormats="0" applyWidthHeightFormats="1" dataCaption="Values" tag="607ce1e9-c3b5-4978-8c1a-1828f7695fe2" updatedVersion="8" minRefreshableVersion="3" subtotalHiddenItems="1" itemPrintTitles="1" createdVersion="5" indent="0" outline="1" outlineData="1" multipleFieldFilters="0" chartFormat="29">
  <location ref="H68:I7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
    <format dxfId="6">
      <pivotArea outline="0" collapsedLevelsAreSubtotals="1" fieldPosition="0"/>
    </format>
  </formats>
  <chartFormats count="1">
    <chartFormat chart="2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E69DE7-8A22-49FA-BAA5-270AECCE1F59}" name="PivotTable2" cacheId="2038" applyNumberFormats="0" applyBorderFormats="0" applyFontFormats="0" applyPatternFormats="0" applyAlignmentFormats="0" applyWidthHeightFormats="1" dataCaption="Values" tag="dfdd1ca9-b31a-48a4-9c84-362a4ef13e35"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4244EA-BE4E-4B15-8011-9F5AA5FC614E}" name="PivotTable6" cacheId="2047" applyNumberFormats="0" applyBorderFormats="0" applyFontFormats="0" applyPatternFormats="0" applyAlignmentFormats="0" applyWidthHeightFormats="1" dataCaption="Values" tag="80aeb574-db0b-42f6-ab47-1d80c30bf0c8" updatedVersion="8" minRefreshableVersion="3" subtotalHiddenItems="1" itemPrintTitles="1" createdVersion="5" indent="0" outline="1" outlineData="1" multipleFieldFilters="0" chartFormat="35">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8">
      <pivotArea outline="0" collapsedLevelsAreSubtotals="1" fieldPosition="0"/>
    </format>
  </formats>
  <chartFormats count="2">
    <chartFormat chart="32"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06485A-166A-4F40-B304-8CF5461CE201}" name="PivotTable10" cacheId="2059" applyNumberFormats="0" applyBorderFormats="0" applyFontFormats="0" applyPatternFormats="0" applyAlignmentFormats="0" applyWidthHeightFormats="1" dataCaption="Values" tag="60e8d34d-f794-40db-ab55-a40dd30bdb00" updatedVersion="8" minRefreshableVersion="3" subtotalHiddenItems="1" itemPrintTitles="1" createdVersion="5" indent="0" outline="1" outlineData="1" multipleFieldFilters="0" chartFormat="24">
  <location ref="H62:I6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9">
      <pivotArea outline="0" collapsedLevelsAreSubtotals="1"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2" count="1" selected="0">
            <x v="0"/>
          </reference>
        </references>
      </pivotArea>
    </chartFormat>
    <chartFormat chart="23"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C7161B-E00C-4FF4-A996-0CF8D8F63591}" name="PivotTable5" cacheId="2044" applyNumberFormats="0" applyBorderFormats="0" applyFontFormats="0" applyPatternFormats="0" applyAlignmentFormats="0" applyWidthHeightFormats="1" dataCaption="Values" tag="eb9e8f5b-da73-4163-a969-3cdc0623705e" updatedVersion="8" minRefreshableVersion="3" subtotalHiddenItems="1" itemPrintTitles="1" createdVersion="5" indent="0" outline="1" outlineData="1" multipleFieldFilters="0" chartFormat="28">
  <location ref="F4:G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0">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7D9A10-747C-4178-B7AA-24538CDBAE1B}" name="PivotTable4" cacheId="2032" applyNumberFormats="0" applyBorderFormats="0" applyFontFormats="0" applyPatternFormats="0" applyAlignmentFormats="0" applyWidthHeightFormats="1" dataCaption="Values" tag="550ab836-77d6-44b7-b016-77e678a5e2c8" updatedVersion="8" minRefreshableVersion="3" subtotalHiddenItems="1" itemPrintTitles="1" createdVersion="5" indent="0" outline="1" outlineData="1" multipleFieldFilters="0" chartFormat="18">
  <location ref="C4:D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chartFormats count="2">
    <chartFormat chart="8" format="5"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EDC8EC-13F6-4AAE-A960-2628FA525657}" name="PivotTable9" cacheId="2056" applyNumberFormats="0" applyBorderFormats="0" applyFontFormats="0" applyPatternFormats="0" applyAlignmentFormats="0" applyWidthHeightFormats="1" dataCaption="Values" tag="090b5295-1980-49ae-b5c7-b0d4cdb04709" updatedVersion="8" minRefreshableVersion="3" subtotalHiddenItems="1" itemPrintTitles="1" createdVersion="5" indent="0" outline="1" outlineData="1" multipleFieldFilters="0" chartFormat="19">
  <location ref="H56:I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1">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22F758-03E2-49AC-91AB-0577498459C6}" name="PivotTable1" cacheId="2035" applyNumberFormats="0" applyBorderFormats="0" applyFontFormats="0" applyPatternFormats="0" applyAlignmentFormats="0" applyWidthHeightFormats="1" dataCaption="Values" tag="b9370d78-51d1-46ec-aaf9-3fd9893a509c"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F132BA-37DF-4E6C-9917-F7A96BE02CE4}" name="PivotTable8" cacheId="2053" applyNumberFormats="0" applyBorderFormats="0" applyFontFormats="0" applyPatternFormats="0" applyAlignmentFormats="0" applyWidthHeightFormats="1" dataCaption="Values" tag="1acfaa31-129e-4062-b539-d61d59ad39e0" updatedVersion="8" minRefreshableVersion="3" subtotalHiddenItems="1" itemPrintTitles="1" createdVersion="5" indent="0" outline="1" outlineData="1" multipleFieldFilters="0" chartFormat="13">
  <location ref="H43:I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numFmtId="1"/>
  </dataFields>
  <formats count="1">
    <format dxfId="12">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EA76ACB-542C-41A7-99CC-6511C0E5DD2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83946797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002D83E-29A8-4E68-9781-39CC60FA059E}"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3946797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2D3AE65-628F-48FB-B613-CC44B9BE4534}" cache="Slicer_Date__Month" caption="Date (Month)" showCaption="0" level="1" style="my style" rowHeight="144000"/>
  <slicer name="Date (Year)" xr10:uid="{8C400247-5DDA-4712-AB3A-BDA3A306CDB1}" cache="Slicer_Date__Year" caption="Date (Year)" columnCount="2" showCaption="0" level="1" style="my styl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E03E-B8D6-46B7-821D-259F53FD1B04}">
  <dimension ref="A3:J77"/>
  <sheetViews>
    <sheetView topLeftCell="A37" workbookViewId="0">
      <selection activeCell="E56" sqref="E56"/>
    </sheetView>
  </sheetViews>
  <sheetFormatPr defaultRowHeight="14.4" x14ac:dyDescent="0.3"/>
  <cols>
    <col min="1" max="1" width="32.44140625" bestFit="1" customWidth="1"/>
    <col min="2" max="2" width="14.77734375" customWidth="1"/>
    <col min="3" max="3" width="13.21875" customWidth="1"/>
    <col min="4" max="4" width="7.33203125" customWidth="1"/>
    <col min="5" max="5" width="19.109375" customWidth="1"/>
    <col min="6" max="6" width="12.5546875" bestFit="1" customWidth="1"/>
    <col min="7" max="7" width="24.44140625" customWidth="1"/>
    <col min="8" max="8" width="10.33203125" bestFit="1" customWidth="1"/>
    <col min="9" max="9" width="26.21875" customWidth="1"/>
    <col min="10" max="10" width="31.33203125" customWidth="1"/>
    <col min="11" max="582" width="10.33203125" bestFit="1" customWidth="1"/>
    <col min="583" max="583" width="10.77734375" bestFit="1" customWidth="1"/>
    <col min="584" max="734" width="10.33203125" bestFit="1" customWidth="1"/>
    <col min="735" max="735" width="10.77734375" bestFit="1" customWidth="1"/>
  </cols>
  <sheetData>
    <row r="3" spans="1:10" x14ac:dyDescent="0.3">
      <c r="A3" t="s">
        <v>1</v>
      </c>
      <c r="C3" t="s">
        <v>9</v>
      </c>
      <c r="F3" t="s">
        <v>10</v>
      </c>
      <c r="I3" t="s">
        <v>11</v>
      </c>
    </row>
    <row r="4" spans="1:10" x14ac:dyDescent="0.3">
      <c r="A4" t="s">
        <v>0</v>
      </c>
      <c r="C4" s="3" t="s">
        <v>5</v>
      </c>
      <c r="D4" t="s">
        <v>6</v>
      </c>
      <c r="F4" s="3" t="s">
        <v>5</v>
      </c>
      <c r="G4" t="s">
        <v>2</v>
      </c>
      <c r="I4" s="3" t="s">
        <v>5</v>
      </c>
      <c r="J4" t="s">
        <v>3</v>
      </c>
    </row>
    <row r="5" spans="1:10" x14ac:dyDescent="0.3">
      <c r="A5" s="16">
        <v>479</v>
      </c>
      <c r="C5" s="4" t="s">
        <v>48</v>
      </c>
      <c r="D5" s="16">
        <v>19</v>
      </c>
      <c r="F5" s="4" t="s">
        <v>48</v>
      </c>
      <c r="G5" s="1">
        <v>40.473684210526315</v>
      </c>
      <c r="I5" s="4" t="s">
        <v>48</v>
      </c>
      <c r="J5" s="1">
        <v>3.8</v>
      </c>
    </row>
    <row r="6" spans="1:10" x14ac:dyDescent="0.3">
      <c r="C6" s="4" t="s">
        <v>49</v>
      </c>
      <c r="D6" s="16">
        <v>13</v>
      </c>
      <c r="F6" s="4" t="s">
        <v>49</v>
      </c>
      <c r="G6" s="1">
        <v>29.46153846153846</v>
      </c>
      <c r="I6" s="4" t="s">
        <v>49</v>
      </c>
      <c r="J6" s="1">
        <v>7.75</v>
      </c>
    </row>
    <row r="7" spans="1:10" x14ac:dyDescent="0.3">
      <c r="C7" s="4" t="s">
        <v>50</v>
      </c>
      <c r="D7" s="16">
        <v>14</v>
      </c>
      <c r="F7" s="4" t="s">
        <v>50</v>
      </c>
      <c r="G7" s="1">
        <v>33.928571428571431</v>
      </c>
      <c r="I7" s="4" t="s">
        <v>50</v>
      </c>
      <c r="J7" s="1">
        <v>4.5999999999999996</v>
      </c>
    </row>
    <row r="8" spans="1:10" x14ac:dyDescent="0.3">
      <c r="A8" t="s">
        <v>2</v>
      </c>
      <c r="C8" s="4" t="s">
        <v>51</v>
      </c>
      <c r="D8" s="16">
        <v>9</v>
      </c>
      <c r="F8" s="4" t="s">
        <v>51</v>
      </c>
      <c r="G8" s="1">
        <v>32.222222222222221</v>
      </c>
      <c r="I8" s="4" t="s">
        <v>51</v>
      </c>
      <c r="J8" s="1">
        <v>6</v>
      </c>
    </row>
    <row r="9" spans="1:10" x14ac:dyDescent="0.3">
      <c r="A9" s="1">
        <v>34.90187891440501</v>
      </c>
      <c r="C9" s="4" t="s">
        <v>52</v>
      </c>
      <c r="D9" s="16">
        <v>19</v>
      </c>
      <c r="F9" s="4" t="s">
        <v>52</v>
      </c>
      <c r="G9" s="1">
        <v>35.736842105263158</v>
      </c>
      <c r="I9" s="4" t="s">
        <v>52</v>
      </c>
      <c r="J9" s="1">
        <v>5.5714285714285712</v>
      </c>
    </row>
    <row r="10" spans="1:10" x14ac:dyDescent="0.3">
      <c r="C10" s="4" t="s">
        <v>53</v>
      </c>
      <c r="D10" s="16">
        <v>14</v>
      </c>
      <c r="F10" s="4" t="s">
        <v>53</v>
      </c>
      <c r="G10" s="1">
        <v>30.142857142857142</v>
      </c>
      <c r="I10" s="4" t="s">
        <v>53</v>
      </c>
      <c r="J10" s="1">
        <v>2</v>
      </c>
    </row>
    <row r="11" spans="1:10" x14ac:dyDescent="0.3">
      <c r="C11" s="4" t="s">
        <v>54</v>
      </c>
      <c r="D11" s="16">
        <v>11</v>
      </c>
      <c r="F11" s="4" t="s">
        <v>54</v>
      </c>
      <c r="G11" s="1">
        <v>33.81818181818182</v>
      </c>
      <c r="I11" s="4" t="s">
        <v>54</v>
      </c>
      <c r="J11" s="1">
        <v>8</v>
      </c>
    </row>
    <row r="12" spans="1:10" x14ac:dyDescent="0.3">
      <c r="C12" s="4" t="s">
        <v>55</v>
      </c>
      <c r="D12" s="16">
        <v>22</v>
      </c>
      <c r="F12" s="4" t="s">
        <v>55</v>
      </c>
      <c r="G12" s="1">
        <v>31.681818181818183</v>
      </c>
      <c r="I12" s="4" t="s">
        <v>55</v>
      </c>
      <c r="J12" s="1">
        <v>8</v>
      </c>
    </row>
    <row r="13" spans="1:10" x14ac:dyDescent="0.3">
      <c r="A13" t="s">
        <v>3</v>
      </c>
      <c r="C13" s="4" t="s">
        <v>56</v>
      </c>
      <c r="D13" s="16">
        <v>12</v>
      </c>
      <c r="F13" s="4" t="s">
        <v>56</v>
      </c>
      <c r="G13" s="1">
        <v>36.416666666666664</v>
      </c>
      <c r="I13" s="4" t="s">
        <v>56</v>
      </c>
      <c r="J13" s="1">
        <v>5.25</v>
      </c>
    </row>
    <row r="14" spans="1:10" x14ac:dyDescent="0.3">
      <c r="A14" s="1">
        <v>5.3034482758620687</v>
      </c>
      <c r="C14" s="4" t="s">
        <v>57</v>
      </c>
      <c r="D14" s="16">
        <v>13</v>
      </c>
      <c r="F14" s="4" t="s">
        <v>57</v>
      </c>
      <c r="G14" s="1">
        <v>33.692307692307693</v>
      </c>
      <c r="I14" s="4" t="s">
        <v>57</v>
      </c>
      <c r="J14" s="1">
        <v>6</v>
      </c>
    </row>
    <row r="15" spans="1:10" x14ac:dyDescent="0.3">
      <c r="C15" s="4" t="s">
        <v>58</v>
      </c>
      <c r="D15" s="16">
        <v>17</v>
      </c>
      <c r="F15" s="4" t="s">
        <v>58</v>
      </c>
      <c r="G15" s="1">
        <v>39.117647058823529</v>
      </c>
      <c r="I15" s="4" t="s">
        <v>58</v>
      </c>
      <c r="J15" s="1">
        <v>6.5</v>
      </c>
    </row>
    <row r="16" spans="1:10" x14ac:dyDescent="0.3">
      <c r="C16" s="4" t="s">
        <v>59</v>
      </c>
      <c r="D16" s="16">
        <v>30</v>
      </c>
      <c r="F16" s="4" t="s">
        <v>59</v>
      </c>
      <c r="G16" s="1">
        <v>36.93333333333333</v>
      </c>
      <c r="I16" s="4" t="s">
        <v>59</v>
      </c>
      <c r="J16" s="1">
        <v>5.75</v>
      </c>
    </row>
    <row r="17" spans="3:10" x14ac:dyDescent="0.3">
      <c r="C17" s="4" t="s">
        <v>60</v>
      </c>
      <c r="D17" s="16">
        <v>13</v>
      </c>
      <c r="F17" s="4" t="s">
        <v>60</v>
      </c>
      <c r="G17" s="1">
        <v>29.923076923076923</v>
      </c>
      <c r="I17" s="4" t="s">
        <v>60</v>
      </c>
      <c r="J17" s="1">
        <v>5.6</v>
      </c>
    </row>
    <row r="18" spans="3:10" x14ac:dyDescent="0.3">
      <c r="C18" s="4" t="s">
        <v>61</v>
      </c>
      <c r="D18" s="16">
        <v>21</v>
      </c>
      <c r="F18" s="4" t="s">
        <v>61</v>
      </c>
      <c r="G18" s="1">
        <v>31.666666666666668</v>
      </c>
      <c r="I18" s="4" t="s">
        <v>61</v>
      </c>
      <c r="J18" s="1">
        <v>6.5</v>
      </c>
    </row>
    <row r="19" spans="3:10" x14ac:dyDescent="0.3">
      <c r="C19" s="4" t="s">
        <v>62</v>
      </c>
      <c r="D19" s="16">
        <v>12</v>
      </c>
      <c r="F19" s="4" t="s">
        <v>62</v>
      </c>
      <c r="G19" s="1">
        <v>40.25</v>
      </c>
      <c r="I19" s="4" t="s">
        <v>62</v>
      </c>
      <c r="J19" s="1">
        <v>5.666666666666667</v>
      </c>
    </row>
    <row r="20" spans="3:10" x14ac:dyDescent="0.3">
      <c r="C20" s="4" t="s">
        <v>63</v>
      </c>
      <c r="D20" s="16">
        <v>17</v>
      </c>
      <c r="F20" s="4" t="s">
        <v>63</v>
      </c>
      <c r="G20" s="1">
        <v>30</v>
      </c>
      <c r="I20" s="4" t="s">
        <v>63</v>
      </c>
      <c r="J20" s="1">
        <v>5.666666666666667</v>
      </c>
    </row>
    <row r="21" spans="3:10" x14ac:dyDescent="0.3">
      <c r="C21" s="4" t="s">
        <v>64</v>
      </c>
      <c r="D21" s="16">
        <v>16</v>
      </c>
      <c r="F21" s="4" t="s">
        <v>64</v>
      </c>
      <c r="G21" s="1">
        <v>35</v>
      </c>
      <c r="I21" s="4" t="s">
        <v>64</v>
      </c>
      <c r="J21" s="1">
        <v>5.8</v>
      </c>
    </row>
    <row r="22" spans="3:10" x14ac:dyDescent="0.3">
      <c r="C22" s="4" t="s">
        <v>65</v>
      </c>
      <c r="D22" s="16">
        <v>20</v>
      </c>
      <c r="F22" s="4" t="s">
        <v>65</v>
      </c>
      <c r="G22" s="1">
        <v>41.85</v>
      </c>
      <c r="I22" s="4" t="s">
        <v>65</v>
      </c>
      <c r="J22" s="1">
        <v>4.666666666666667</v>
      </c>
    </row>
    <row r="23" spans="3:10" x14ac:dyDescent="0.3">
      <c r="C23" s="4" t="s">
        <v>66</v>
      </c>
      <c r="D23" s="16">
        <v>18</v>
      </c>
      <c r="F23" s="4" t="s">
        <v>66</v>
      </c>
      <c r="G23" s="1">
        <v>33.277777777777779</v>
      </c>
      <c r="I23" s="4" t="s">
        <v>66</v>
      </c>
      <c r="J23" s="1">
        <v>4.833333333333333</v>
      </c>
    </row>
    <row r="24" spans="3:10" x14ac:dyDescent="0.3">
      <c r="C24" s="4" t="s">
        <v>67</v>
      </c>
      <c r="D24" s="16">
        <v>16</v>
      </c>
      <c r="F24" s="4" t="s">
        <v>67</v>
      </c>
      <c r="G24" s="1">
        <v>32.9375</v>
      </c>
      <c r="I24" s="4" t="s">
        <v>67</v>
      </c>
      <c r="J24" s="1">
        <v>2.3333333333333335</v>
      </c>
    </row>
    <row r="25" spans="3:10" x14ac:dyDescent="0.3">
      <c r="C25" s="4" t="s">
        <v>68</v>
      </c>
      <c r="D25" s="16">
        <v>15</v>
      </c>
      <c r="F25" s="4" t="s">
        <v>68</v>
      </c>
      <c r="G25" s="1">
        <v>33.266666666666666</v>
      </c>
      <c r="I25" s="4" t="s">
        <v>68</v>
      </c>
      <c r="J25" s="1">
        <v>4.5</v>
      </c>
    </row>
    <row r="26" spans="3:10" x14ac:dyDescent="0.3">
      <c r="C26" s="4" t="s">
        <v>69</v>
      </c>
      <c r="D26" s="16">
        <v>18</v>
      </c>
      <c r="F26" s="4" t="s">
        <v>69</v>
      </c>
      <c r="G26" s="1">
        <v>34.444444444444443</v>
      </c>
      <c r="I26" s="4" t="s">
        <v>69</v>
      </c>
      <c r="J26" s="1">
        <v>6.666666666666667</v>
      </c>
    </row>
    <row r="27" spans="3:10" x14ac:dyDescent="0.3">
      <c r="C27" s="4" t="s">
        <v>70</v>
      </c>
      <c r="D27" s="16">
        <v>12</v>
      </c>
      <c r="F27" s="4" t="s">
        <v>70</v>
      </c>
      <c r="G27" s="1">
        <v>43.416666666666664</v>
      </c>
      <c r="I27" s="4" t="s">
        <v>70</v>
      </c>
      <c r="J27" s="1">
        <v>7.5</v>
      </c>
    </row>
    <row r="28" spans="3:10" x14ac:dyDescent="0.3">
      <c r="C28" s="4" t="s">
        <v>71</v>
      </c>
      <c r="D28" s="16">
        <v>14</v>
      </c>
      <c r="F28" s="4" t="s">
        <v>71</v>
      </c>
      <c r="G28" s="1">
        <v>36.357142857142854</v>
      </c>
      <c r="I28" s="4" t="s">
        <v>71</v>
      </c>
      <c r="J28" s="1">
        <v>5.2857142857142856</v>
      </c>
    </row>
    <row r="29" spans="3:10" x14ac:dyDescent="0.3">
      <c r="C29" s="4" t="s">
        <v>72</v>
      </c>
      <c r="D29" s="16">
        <v>18</v>
      </c>
      <c r="F29" s="4" t="s">
        <v>72</v>
      </c>
      <c r="G29" s="1">
        <v>40.611111111111114</v>
      </c>
      <c r="I29" s="4" t="s">
        <v>72</v>
      </c>
      <c r="J29" s="1">
        <v>2.875</v>
      </c>
    </row>
    <row r="30" spans="3:10" x14ac:dyDescent="0.3">
      <c r="C30" s="4" t="s">
        <v>73</v>
      </c>
      <c r="D30" s="16">
        <v>16</v>
      </c>
      <c r="F30" s="4" t="s">
        <v>73</v>
      </c>
      <c r="G30" s="1">
        <v>29.875</v>
      </c>
      <c r="I30" s="4" t="s">
        <v>73</v>
      </c>
      <c r="J30" s="1">
        <v>6.25</v>
      </c>
    </row>
    <row r="31" spans="3:10" x14ac:dyDescent="0.3">
      <c r="C31" s="4" t="s">
        <v>74</v>
      </c>
      <c r="D31" s="16">
        <v>16</v>
      </c>
      <c r="F31" s="4" t="s">
        <v>74</v>
      </c>
      <c r="G31" s="1">
        <v>33.5</v>
      </c>
      <c r="I31" s="4" t="s">
        <v>74</v>
      </c>
      <c r="J31" s="1">
        <v>6.125</v>
      </c>
    </row>
    <row r="32" spans="3:10" x14ac:dyDescent="0.3">
      <c r="C32" s="4" t="s">
        <v>75</v>
      </c>
      <c r="D32" s="16">
        <v>16</v>
      </c>
      <c r="F32" s="4" t="s">
        <v>75</v>
      </c>
      <c r="G32" s="1">
        <v>32.5625</v>
      </c>
      <c r="I32" s="4" t="s">
        <v>75</v>
      </c>
      <c r="J32" s="1">
        <v>5.75</v>
      </c>
    </row>
    <row r="33" spans="2:10" x14ac:dyDescent="0.3">
      <c r="C33" s="4" t="s">
        <v>76</v>
      </c>
      <c r="D33" s="16">
        <v>14</v>
      </c>
      <c r="F33" s="4" t="s">
        <v>76</v>
      </c>
      <c r="G33" s="1">
        <v>38.571428571428569</v>
      </c>
      <c r="I33" s="4" t="s">
        <v>76</v>
      </c>
      <c r="J33" s="1">
        <v>5.375</v>
      </c>
    </row>
    <row r="34" spans="2:10" x14ac:dyDescent="0.3">
      <c r="C34" s="4" t="s">
        <v>77</v>
      </c>
      <c r="D34" s="16">
        <v>14</v>
      </c>
      <c r="F34" s="4" t="s">
        <v>77</v>
      </c>
      <c r="G34" s="1">
        <v>32.714285714285715</v>
      </c>
      <c r="I34" s="4" t="s">
        <v>77</v>
      </c>
      <c r="J34" s="1">
        <v>5.6</v>
      </c>
    </row>
    <row r="35" spans="2:10" x14ac:dyDescent="0.3">
      <c r="C35" s="4" t="s">
        <v>4</v>
      </c>
      <c r="D35" s="16">
        <v>479</v>
      </c>
      <c r="F35" s="4" t="s">
        <v>4</v>
      </c>
      <c r="G35" s="1">
        <v>34.90187891440501</v>
      </c>
      <c r="I35" s="4" t="s">
        <v>4</v>
      </c>
      <c r="J35" s="1">
        <v>5.3034482758620687</v>
      </c>
    </row>
    <row r="42" spans="2:10" x14ac:dyDescent="0.3">
      <c r="B42" s="3" t="s">
        <v>5</v>
      </c>
      <c r="C42" t="s">
        <v>15</v>
      </c>
      <c r="D42" t="s">
        <v>16</v>
      </c>
      <c r="H42" t="s">
        <v>29</v>
      </c>
    </row>
    <row r="43" spans="2:10" x14ac:dyDescent="0.3">
      <c r="B43" s="4" t="s">
        <v>13</v>
      </c>
      <c r="C43" s="6">
        <v>237</v>
      </c>
      <c r="D43" s="8">
        <v>0.49478079331941544</v>
      </c>
      <c r="H43" s="3" t="s">
        <v>5</v>
      </c>
      <c r="I43" t="s">
        <v>28</v>
      </c>
    </row>
    <row r="44" spans="2:10" x14ac:dyDescent="0.3">
      <c r="B44" s="4" t="s">
        <v>14</v>
      </c>
      <c r="C44" s="6">
        <v>242</v>
      </c>
      <c r="D44" s="8">
        <v>0.50521920668058451</v>
      </c>
      <c r="H44" s="4" t="s">
        <v>20</v>
      </c>
      <c r="I44" s="6">
        <v>70</v>
      </c>
    </row>
    <row r="45" spans="2:10" x14ac:dyDescent="0.3">
      <c r="B45" s="4" t="s">
        <v>4</v>
      </c>
      <c r="C45" s="1">
        <v>479</v>
      </c>
      <c r="D45" s="7">
        <v>1</v>
      </c>
      <c r="H45" s="4" t="s">
        <v>21</v>
      </c>
      <c r="I45" s="6">
        <v>67</v>
      </c>
    </row>
    <row r="46" spans="2:10" x14ac:dyDescent="0.3">
      <c r="H46" s="4" t="s">
        <v>22</v>
      </c>
      <c r="I46" s="6">
        <v>64</v>
      </c>
    </row>
    <row r="47" spans="2:10" x14ac:dyDescent="0.3">
      <c r="H47" s="4" t="s">
        <v>23</v>
      </c>
      <c r="I47" s="6">
        <v>60</v>
      </c>
    </row>
    <row r="48" spans="2:10" x14ac:dyDescent="0.3">
      <c r="B48" s="9" t="s">
        <v>17</v>
      </c>
      <c r="C48" s="9" t="s">
        <v>18</v>
      </c>
      <c r="D48" s="9" t="s">
        <v>19</v>
      </c>
      <c r="E48" s="9"/>
      <c r="H48" s="4" t="s">
        <v>24</v>
      </c>
      <c r="I48" s="6">
        <v>42</v>
      </c>
    </row>
    <row r="49" spans="2:9" x14ac:dyDescent="0.3">
      <c r="B49" s="10" t="str">
        <f>B44</f>
        <v>Not Admitted</v>
      </c>
      <c r="C49" s="10">
        <f>C44</f>
        <v>242</v>
      </c>
      <c r="D49" s="11">
        <f>D44</f>
        <v>0.50521920668058451</v>
      </c>
      <c r="H49" s="4" t="s">
        <v>25</v>
      </c>
      <c r="I49" s="6">
        <v>53</v>
      </c>
    </row>
    <row r="50" spans="2:9" x14ac:dyDescent="0.3">
      <c r="B50" s="10" t="str">
        <f>B43</f>
        <v>Admitted</v>
      </c>
      <c r="C50" s="10">
        <f>C43</f>
        <v>237</v>
      </c>
      <c r="D50" s="11">
        <f>D43</f>
        <v>0.49478079331941544</v>
      </c>
      <c r="H50" s="4" t="s">
        <v>26</v>
      </c>
      <c r="I50" s="6">
        <v>71</v>
      </c>
    </row>
    <row r="51" spans="2:9" x14ac:dyDescent="0.3">
      <c r="H51" s="4" t="s">
        <v>27</v>
      </c>
      <c r="I51" s="6">
        <v>52</v>
      </c>
    </row>
    <row r="52" spans="2:9" x14ac:dyDescent="0.3">
      <c r="H52" s="4" t="s">
        <v>4</v>
      </c>
      <c r="I52" s="6">
        <v>479</v>
      </c>
    </row>
    <row r="55" spans="2:9" x14ac:dyDescent="0.3">
      <c r="H55" s="4" t="s">
        <v>33</v>
      </c>
    </row>
    <row r="56" spans="2:9" x14ac:dyDescent="0.3">
      <c r="H56" s="3" t="s">
        <v>5</v>
      </c>
      <c r="I56" t="s">
        <v>32</v>
      </c>
    </row>
    <row r="57" spans="2:9" x14ac:dyDescent="0.3">
      <c r="H57" s="4" t="s">
        <v>30</v>
      </c>
      <c r="I57" s="6">
        <v>273</v>
      </c>
    </row>
    <row r="58" spans="2:9" x14ac:dyDescent="0.3">
      <c r="H58" s="4" t="s">
        <v>31</v>
      </c>
      <c r="I58" s="6">
        <v>206</v>
      </c>
    </row>
    <row r="59" spans="2:9" x14ac:dyDescent="0.3">
      <c r="H59" s="4" t="s">
        <v>4</v>
      </c>
      <c r="I59" s="6">
        <v>479</v>
      </c>
    </row>
    <row r="61" spans="2:9" x14ac:dyDescent="0.3">
      <c r="H61" s="4" t="s">
        <v>37</v>
      </c>
    </row>
    <row r="62" spans="2:9" x14ac:dyDescent="0.3">
      <c r="H62" s="3" t="s">
        <v>5</v>
      </c>
      <c r="I62" t="s">
        <v>36</v>
      </c>
    </row>
    <row r="63" spans="2:9" x14ac:dyDescent="0.3">
      <c r="H63" s="4" t="s">
        <v>34</v>
      </c>
      <c r="I63" s="6">
        <v>235</v>
      </c>
    </row>
    <row r="64" spans="2:9" x14ac:dyDescent="0.3">
      <c r="E64" s="3" t="s">
        <v>5</v>
      </c>
      <c r="H64" s="4" t="s">
        <v>35</v>
      </c>
      <c r="I64" s="6">
        <v>244</v>
      </c>
    </row>
    <row r="65" spans="5:9" x14ac:dyDescent="0.3">
      <c r="E65" s="4" t="s">
        <v>47</v>
      </c>
      <c r="H65" s="4" t="s">
        <v>4</v>
      </c>
      <c r="I65" s="6">
        <v>479</v>
      </c>
    </row>
    <row r="66" spans="5:9" x14ac:dyDescent="0.3">
      <c r="E66" s="4" t="s">
        <v>4</v>
      </c>
    </row>
    <row r="68" spans="5:9" x14ac:dyDescent="0.3">
      <c r="H68" s="3" t="s">
        <v>5</v>
      </c>
      <c r="I68" t="s">
        <v>46</v>
      </c>
    </row>
    <row r="69" spans="5:9" x14ac:dyDescent="0.3">
      <c r="H69" s="4" t="s">
        <v>45</v>
      </c>
      <c r="I69" s="6">
        <v>4</v>
      </c>
    </row>
    <row r="70" spans="5:9" x14ac:dyDescent="0.3">
      <c r="H70" s="4" t="s">
        <v>41</v>
      </c>
      <c r="I70" s="6">
        <v>11</v>
      </c>
    </row>
    <row r="71" spans="5:9" x14ac:dyDescent="0.3">
      <c r="H71" s="4" t="s">
        <v>44</v>
      </c>
      <c r="I71" s="6">
        <v>11</v>
      </c>
    </row>
    <row r="72" spans="5:9" x14ac:dyDescent="0.3">
      <c r="H72" s="4" t="s">
        <v>39</v>
      </c>
      <c r="I72" s="6">
        <v>12</v>
      </c>
    </row>
    <row r="73" spans="5:9" x14ac:dyDescent="0.3">
      <c r="H73" s="4" t="s">
        <v>38</v>
      </c>
      <c r="I73" s="6">
        <v>18</v>
      </c>
    </row>
    <row r="74" spans="5:9" x14ac:dyDescent="0.3">
      <c r="H74" s="4" t="s">
        <v>43</v>
      </c>
      <c r="I74" s="6">
        <v>45</v>
      </c>
    </row>
    <row r="75" spans="5:9" x14ac:dyDescent="0.3">
      <c r="H75" s="4" t="s">
        <v>40</v>
      </c>
      <c r="I75" s="6">
        <v>115</v>
      </c>
    </row>
    <row r="76" spans="5:9" x14ac:dyDescent="0.3">
      <c r="H76" s="4" t="s">
        <v>42</v>
      </c>
      <c r="I76" s="6">
        <v>263</v>
      </c>
    </row>
    <row r="77" spans="5:9" x14ac:dyDescent="0.3">
      <c r="H77" s="4" t="s">
        <v>4</v>
      </c>
      <c r="I77" s="6">
        <v>479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7F5-D5F3-4E11-A1F5-56EEC08E4E48}">
  <dimension ref="A1:M17"/>
  <sheetViews>
    <sheetView tabSelected="1" zoomScale="132" zoomScaleNormal="146" workbookViewId="0">
      <selection activeCell="N11" sqref="N11"/>
    </sheetView>
  </sheetViews>
  <sheetFormatPr defaultRowHeight="14.4" x14ac:dyDescent="0.3"/>
  <sheetData>
    <row r="1" spans="1:13" x14ac:dyDescent="0.3">
      <c r="A1" s="2"/>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x14ac:dyDescent="0.3">
      <c r="A5" s="2"/>
      <c r="B5" s="2"/>
      <c r="C5" s="2"/>
      <c r="D5" s="2"/>
      <c r="E5" s="2"/>
      <c r="F5" s="2"/>
      <c r="G5" s="2"/>
      <c r="H5" s="2"/>
      <c r="I5" s="2"/>
      <c r="J5" s="2"/>
      <c r="K5" s="2"/>
      <c r="L5" s="2"/>
      <c r="M5" s="2"/>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2"/>
      <c r="M15" s="2"/>
    </row>
    <row r="16" spans="1:13" x14ac:dyDescent="0.3">
      <c r="A16" s="2"/>
      <c r="B16" s="2"/>
      <c r="C16" s="2"/>
      <c r="D16" s="2"/>
      <c r="E16" s="2"/>
      <c r="F16" s="2"/>
      <c r="G16" s="2"/>
      <c r="H16" s="2"/>
      <c r="I16" s="2"/>
      <c r="J16" s="2"/>
      <c r="K16" s="2"/>
      <c r="L16" s="2"/>
      <c r="M16" s="2"/>
    </row>
    <row r="17" spans="1:13" x14ac:dyDescent="0.3">
      <c r="A17" s="2"/>
      <c r="B17" s="2"/>
      <c r="C17" s="2"/>
      <c r="D17" s="2"/>
      <c r="E17" s="2"/>
      <c r="F17" s="2"/>
      <c r="G17" s="2"/>
      <c r="H17" s="2"/>
      <c r="I17" s="2"/>
      <c r="J17" s="2"/>
      <c r="K17" s="2"/>
      <c r="L17" s="2"/>
      <c r="M17" s="2"/>
    </row>
  </sheetData>
  <sheetProtection algorithmName="SHA-512" hashValue="MmIdPRSyGNyIAegY3weqWzD8U/vThSzC9kixMyhlhGMo9wh1JFOZ62hwolS61t97QAf3pqEPcrkgk5/cfadZEQ==" saltValue="WY9d674X+qCqWg5ozwlhxA==" spinCount="100000" sheet="1" objects="1" scenario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A5017-D8F9-4EC5-86D5-5B0D11610E8C}">
  <dimension ref="A1:R23"/>
  <sheetViews>
    <sheetView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ht="25.8" x14ac:dyDescent="0.5">
      <c r="A22" s="5"/>
      <c r="B22" s="12" t="s">
        <v>7</v>
      </c>
      <c r="C22" s="12"/>
      <c r="D22" s="12"/>
      <c r="E22" s="12"/>
      <c r="F22" s="12"/>
      <c r="G22" s="12"/>
      <c r="H22" s="12"/>
      <c r="I22" s="12"/>
      <c r="J22" s="12"/>
      <c r="K22" s="12"/>
      <c r="L22" s="12"/>
      <c r="M22" s="12"/>
      <c r="N22" s="12"/>
      <c r="O22" s="12"/>
      <c r="P22" s="12"/>
      <c r="Q22" s="12"/>
      <c r="R22" s="5"/>
    </row>
    <row r="23" spans="1:18" x14ac:dyDescent="0.3">
      <c r="A23" s="5"/>
      <c r="B23" s="5"/>
      <c r="C23" s="5"/>
      <c r="D23" s="5"/>
      <c r="E23" s="5"/>
      <c r="F23" s="5"/>
      <c r="G23" s="5"/>
      <c r="H23" s="5"/>
      <c r="I23" s="5"/>
      <c r="J23" s="5"/>
      <c r="K23" s="5"/>
      <c r="L23" s="5"/>
      <c r="M23" s="5"/>
      <c r="N23" s="5"/>
      <c r="O23" s="5"/>
      <c r="P23" s="5"/>
      <c r="Q23" s="5"/>
      <c r="R23" s="5"/>
    </row>
  </sheetData>
  <mergeCells count="1">
    <mergeCell ref="B22:Q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C67DC-5E26-4218-9D71-204AFCD5E990}">
  <dimension ref="A1:R24"/>
  <sheetViews>
    <sheetView zoomScale="106" zoomScaleNormal="106"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ht="23.4" x14ac:dyDescent="0.45">
      <c r="A22" s="5"/>
      <c r="B22" s="5"/>
      <c r="C22" s="13" t="s">
        <v>8</v>
      </c>
      <c r="D22" s="14"/>
      <c r="E22" s="14"/>
      <c r="F22" s="14"/>
      <c r="G22" s="14"/>
      <c r="H22" s="14"/>
      <c r="I22" s="14"/>
      <c r="J22" s="14"/>
      <c r="K22" s="14"/>
      <c r="L22" s="14"/>
      <c r="M22" s="14"/>
      <c r="N22" s="14"/>
      <c r="O22" s="14"/>
      <c r="P22" s="14"/>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sheetData>
  <mergeCells count="1">
    <mergeCell ref="C22:P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50866-C8B3-40C3-8A39-7DFC5DB897D8}">
  <dimension ref="A1:R24"/>
  <sheetViews>
    <sheetView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ht="21" x14ac:dyDescent="0.4">
      <c r="A22" s="5"/>
      <c r="B22" s="15" t="s">
        <v>12</v>
      </c>
      <c r="C22" s="12"/>
      <c r="D22" s="12"/>
      <c r="E22" s="12"/>
      <c r="F22" s="12"/>
      <c r="G22" s="12"/>
      <c r="H22" s="12"/>
      <c r="I22" s="12"/>
      <c r="J22" s="12"/>
      <c r="K22" s="12"/>
      <c r="L22" s="12"/>
      <c r="M22" s="12"/>
      <c r="N22" s="12"/>
      <c r="O22" s="12"/>
      <c r="P22" s="12"/>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sheetData>
  <mergeCells count="1">
    <mergeCell ref="B22:P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30301AB-AE34-48AD-96C7-AE17BE0203E5}">
  <ds:schemaRefs/>
</ds:datastoreItem>
</file>

<file path=customXml/itemProps2.xml><?xml version="1.0" encoding="utf-8"?>
<ds:datastoreItem xmlns:ds="http://schemas.openxmlformats.org/officeDocument/2006/customXml" ds:itemID="{244DDEA1-2AF6-48F9-9BA7-570069D8C296}">
  <ds:schemaRefs/>
</ds:datastoreItem>
</file>

<file path=customXml/itemProps3.xml><?xml version="1.0" encoding="utf-8"?>
<ds:datastoreItem xmlns:ds="http://schemas.openxmlformats.org/officeDocument/2006/customXml" ds:itemID="{E88B69C5-9AB7-4EE1-A453-EF4A1DC99B8E}">
  <ds:schemaRefs/>
</ds:datastoreItem>
</file>

<file path=customXml/itemProps4.xml><?xml version="1.0" encoding="utf-8"?>
<ds:datastoreItem xmlns:ds="http://schemas.openxmlformats.org/officeDocument/2006/customXml" ds:itemID="{99F7E410-C946-4363-BA4F-4B7E0C8F8860}">
  <ds:schemaRefs/>
</ds:datastoreItem>
</file>

<file path=customXml/itemProps5.xml><?xml version="1.0" encoding="utf-8"?>
<ds:datastoreItem xmlns:ds="http://schemas.openxmlformats.org/officeDocument/2006/customXml" ds:itemID="{90888C93-BE83-4E29-9FCC-D2DCD0ED782C}">
  <ds:schemaRefs/>
</ds:datastoreItem>
</file>

<file path=customXml/itemProps6.xml><?xml version="1.0" encoding="utf-8"?>
<ds:datastoreItem xmlns:ds="http://schemas.openxmlformats.org/officeDocument/2006/customXml" ds:itemID="{CA827892-4397-4E65-8231-F0C4E2292E9B}">
  <ds:schemaRefs/>
</ds:datastoreItem>
</file>

<file path=customXml/itemProps7.xml><?xml version="1.0" encoding="utf-8"?>
<ds:datastoreItem xmlns:ds="http://schemas.openxmlformats.org/officeDocument/2006/customXml" ds:itemID="{D5384A94-AA0D-4191-97E0-3EE653C62944}">
  <ds:schemaRefs/>
</ds:datastoreItem>
</file>

<file path=customXml/itemProps8.xml><?xml version="1.0" encoding="utf-8"?>
<ds:datastoreItem xmlns:ds="http://schemas.openxmlformats.org/officeDocument/2006/customXml" ds:itemID="{102568CC-1434-44B5-A216-16FB4EF9F5CB}">
  <ds:schemaRefs/>
</ds:datastoreItem>
</file>

<file path=customXml/itemProps9.xml><?xml version="1.0" encoding="utf-8"?>
<ds:datastoreItem xmlns:ds="http://schemas.openxmlformats.org/officeDocument/2006/customXml" ds:itemID="{A867619B-FDD7-4DB3-901B-4EB6114C090F}">
  <ds:schemaRefs/>
</ds:datastoreItem>
</file>

<file path=customXml/itemProps10.xml><?xml version="1.0" encoding="utf-8"?>
<ds:datastoreItem xmlns:ds="http://schemas.openxmlformats.org/officeDocument/2006/customXml" ds:itemID="{5B54068A-D17E-4626-947E-40B211059DCA}">
  <ds:schemaRefs/>
</ds:datastoreItem>
</file>

<file path=customXml/itemProps11.xml><?xml version="1.0" encoding="utf-8"?>
<ds:datastoreItem xmlns:ds="http://schemas.openxmlformats.org/officeDocument/2006/customXml" ds:itemID="{004E3934-AF20-4083-9870-A79A96D8D139}">
  <ds:schemaRefs/>
</ds:datastoreItem>
</file>

<file path=customXml/itemProps12.xml><?xml version="1.0" encoding="utf-8"?>
<ds:datastoreItem xmlns:ds="http://schemas.openxmlformats.org/officeDocument/2006/customXml" ds:itemID="{A7019C96-5044-4E36-AF78-2FA855AF366F}">
  <ds:schemaRefs/>
</ds:datastoreItem>
</file>

<file path=customXml/itemProps13.xml><?xml version="1.0" encoding="utf-8"?>
<ds:datastoreItem xmlns:ds="http://schemas.openxmlformats.org/officeDocument/2006/customXml" ds:itemID="{4C2A71AC-DA18-43FA-9B4E-6BFF950522A1}">
  <ds:schemaRefs/>
</ds:datastoreItem>
</file>

<file path=customXml/itemProps14.xml><?xml version="1.0" encoding="utf-8"?>
<ds:datastoreItem xmlns:ds="http://schemas.openxmlformats.org/officeDocument/2006/customXml" ds:itemID="{3BF258DC-9A4E-4CA3-B4BF-B039956929C6}">
  <ds:schemaRefs/>
</ds:datastoreItem>
</file>

<file path=customXml/itemProps15.xml><?xml version="1.0" encoding="utf-8"?>
<ds:datastoreItem xmlns:ds="http://schemas.openxmlformats.org/officeDocument/2006/customXml" ds:itemID="{BBDDC1F7-9898-4529-90D6-D13DE0D70F39}">
  <ds:schemaRefs/>
</ds:datastoreItem>
</file>

<file path=customXml/itemProps16.xml><?xml version="1.0" encoding="utf-8"?>
<ds:datastoreItem xmlns:ds="http://schemas.openxmlformats.org/officeDocument/2006/customXml" ds:itemID="{C3E363C0-5062-4522-BC2D-FE8B53683884}">
  <ds:schemaRefs/>
</ds:datastoreItem>
</file>

<file path=customXml/itemProps17.xml><?xml version="1.0" encoding="utf-8"?>
<ds:datastoreItem xmlns:ds="http://schemas.openxmlformats.org/officeDocument/2006/customXml" ds:itemID="{AC1DFCC0-178D-4554-9FCB-F2F6C027CF1C}">
  <ds:schemaRefs/>
</ds:datastoreItem>
</file>

<file path=customXml/itemProps18.xml><?xml version="1.0" encoding="utf-8"?>
<ds:datastoreItem xmlns:ds="http://schemas.openxmlformats.org/officeDocument/2006/customXml" ds:itemID="{7E62B884-EE83-40EF-A8D4-AE559DF26A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tamrakar</dc:creator>
  <cp:lastModifiedBy>utkarsh tamrakar</cp:lastModifiedBy>
  <dcterms:created xsi:type="dcterms:W3CDTF">2025-11-21T06:56:52Z</dcterms:created>
  <dcterms:modified xsi:type="dcterms:W3CDTF">2025-11-22T08:46:15Z</dcterms:modified>
</cp:coreProperties>
</file>